
<file path=[Content_Types].xml><?xml version="1.0" encoding="utf-8"?>
<Types xmlns="http://schemas.openxmlformats.org/package/2006/content-types"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lh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<sst xmlns="http://schemas.openxmlformats.org/spreadsheetml/2006/main" count="1476" uniqueCount="493">
  <si>
    <t xml:space="preserve">Instance</t>
  </si>
  <si>
    <t xml:space="preserve">OF</t>
  </si>
  <si>
    <t xml:space="preserve">Data1-15-10-0.6-0.5-100-100-100-0</t>
  </si>
  <si>
    <t xml:space="preserve">Data1-15-10-0.6-0.5-100-100-100-0-mod</t>
  </si>
  <si>
    <t xml:space="preserve">Data1-15-10-0.6-0.5-100-100-100-1</t>
  </si>
  <si>
    <t xml:space="preserve">Data1-15-10-0.6-0.5-100-100-100-1-mod</t>
  </si>
  <si>
    <t xml:space="preserve">Data1-15-10-0.6-0.5-100-100-100-2</t>
  </si>
  <si>
    <t xml:space="preserve">Data1-15-10-0.6-0.5-100-100-100-2-mod</t>
  </si>
  <si>
    <t xml:space="preserve">Data1-15-10-0.6-0.5-100-100-100-3</t>
  </si>
  <si>
    <t xml:space="preserve">Data1-15-10-0.6-0.5-100-100-100-3-mod</t>
  </si>
  <si>
    <t xml:space="preserve">Data1-15-10-0.6-0.5-100-100-100-4</t>
  </si>
  <si>
    <t xml:space="preserve">Data1-15-10-0.6-0.5-100-100-100-4-mod</t>
  </si>
  <si>
    <t xml:space="preserve">Data1-15-10-0.6-0.5-100-100-100-5</t>
  </si>
  <si>
    <t xml:space="preserve">Data1-15-10-0.6-0.5-100-100-100-5-mod</t>
  </si>
  <si>
    <t xml:space="preserve">Data1-15-10-0.6-0.5-100-100-100-6</t>
  </si>
  <si>
    <t xml:space="preserve">Data1-15-10-0.6-0.5-100-100-100-6-mod</t>
  </si>
  <si>
    <t xml:space="preserve">Data1-15-10-0.6-0.5-100-100-100-7</t>
  </si>
  <si>
    <t xml:space="preserve">Data1-15-10-0.6-0.5-100-100-100-7-mod</t>
  </si>
  <si>
    <t xml:space="preserve">Data1-15-10-0.6-0.5-100-100-100-8</t>
  </si>
  <si>
    <t xml:space="preserve">Data1-15-10-0.6-0.5-100-100-100-8-mod</t>
  </si>
  <si>
    <t xml:space="preserve">Data1-15-10-0.6-0.5-100-100-100-9</t>
  </si>
  <si>
    <t xml:space="preserve">Data1-15-10-0.6-0.5-100-100-100-9-mod</t>
  </si>
  <si>
    <t xml:space="preserve">Data1-15-10-0.6-0.5-50-100-100-0</t>
  </si>
  <si>
    <t xml:space="preserve">Data1-15-10-0.6-0.5-50-100-100-0-mod</t>
  </si>
  <si>
    <t xml:space="preserve">Data1-15-10-0.6-0.5-50-100-100-1</t>
  </si>
  <si>
    <t xml:space="preserve">Data1-15-10-0.6-0.5-50-100-100-1-mod</t>
  </si>
  <si>
    <t xml:space="preserve">Data1-15-10-0.6-0.5-50-100-100-2</t>
  </si>
  <si>
    <t xml:space="preserve">Data1-15-10-0.6-0.5-50-100-100-2-mod</t>
  </si>
  <si>
    <t xml:space="preserve">Data1-15-10-0.6-0.5-50-100-100-3</t>
  </si>
  <si>
    <t xml:space="preserve">Data1-15-10-0.6-0.5-50-100-100-3-mod</t>
  </si>
  <si>
    <t xml:space="preserve">Data1-15-10-0.6-0.5-50-100-100-4</t>
  </si>
  <si>
    <t xml:space="preserve">Data1-15-10-0.6-0.5-50-100-100-4-mod</t>
  </si>
  <si>
    <t xml:space="preserve">Data1-15-10-0.6-0.5-50-100-100-5</t>
  </si>
  <si>
    <t xml:space="preserve">Data1-15-10-0.6-0.5-50-100-100-5-mod</t>
  </si>
  <si>
    <t xml:space="preserve">Data1-15-10-0.6-0.5-50-100-100-6</t>
  </si>
  <si>
    <t xml:space="preserve">Data1-15-10-0.6-0.5-50-100-100-6-mod</t>
  </si>
  <si>
    <t xml:space="preserve">Data1-15-10-0.6-0.5-50-100-100-7</t>
  </si>
  <si>
    <t xml:space="preserve">Data1-15-10-0.6-0.5-50-100-100-7-mod</t>
  </si>
  <si>
    <t xml:space="preserve">Data1-15-10-0.6-0.5-50-100-100-8</t>
  </si>
  <si>
    <t xml:space="preserve">Data1-15-10-0.6-0.5-50-100-100-8-mod</t>
  </si>
  <si>
    <t xml:space="preserve">Data1-15-10-0.6-0.5-50-100-100-9</t>
  </si>
  <si>
    <t xml:space="preserve">Data1-15-10-0.6-0.5-50-100-100-9-mod</t>
  </si>
  <si>
    <t xml:space="preserve">Data1-15-10-0.8-0.5-100-100-100-0</t>
  </si>
  <si>
    <t xml:space="preserve">Data1-15-10-0.8-0.5-100-100-100-0-mod</t>
  </si>
  <si>
    <t xml:space="preserve">Data1-15-10-0.8-0.5-100-100-100-1</t>
  </si>
  <si>
    <t xml:space="preserve">Data1-15-10-0.8-0.5-100-100-100-1-mod</t>
  </si>
  <si>
    <t xml:space="preserve">Data1-15-10-0.8-0.5-100-100-100-2</t>
  </si>
  <si>
    <t xml:space="preserve">Data1-15-10-0.8-0.5-100-100-100-2-mod</t>
  </si>
  <si>
    <t xml:space="preserve">Data1-15-10-0.8-0.5-100-100-100-3</t>
  </si>
  <si>
    <t xml:space="preserve">Data1-15-10-0.8-0.5-100-100-100-3-mod</t>
  </si>
  <si>
    <t xml:space="preserve">Data1-15-10-0.8-0.5-100-100-100-4</t>
  </si>
  <si>
    <t xml:space="preserve">Data1-15-10-0.8-0.5-100-100-100-4-mod</t>
  </si>
  <si>
    <t xml:space="preserve">Data1-15-10-0.8-0.5-100-100-100-5</t>
  </si>
  <si>
    <t xml:space="preserve">Data1-15-10-0.8-0.5-100-100-100-5-mod</t>
  </si>
  <si>
    <t xml:space="preserve">Data1-15-10-0.8-0.5-100-100-100-6</t>
  </si>
  <si>
    <t xml:space="preserve">Data1-15-10-0.8-0.5-100-100-100-6-mod</t>
  </si>
  <si>
    <t xml:space="preserve">Data1-15-10-0.8-0.5-100-100-100-7</t>
  </si>
  <si>
    <t xml:space="preserve">Data1-15-10-0.8-0.5-100-100-100-7-mod</t>
  </si>
  <si>
    <t xml:space="preserve">Data1-15-10-0.8-0.5-100-100-100-8</t>
  </si>
  <si>
    <t xml:space="preserve">Data1-15-10-0.8-0.5-100-100-100-8-mod</t>
  </si>
  <si>
    <t xml:space="preserve">Data1-15-10-0.8-0.5-100-100-100-9</t>
  </si>
  <si>
    <t xml:space="preserve">Data1-15-10-0.8-0.5-100-100-100-9-mod</t>
  </si>
  <si>
    <t xml:space="preserve">Data1-15-10-0.8-0.5-50-100-100-0</t>
  </si>
  <si>
    <t xml:space="preserve">Data1-15-10-0.8-0.5-50-100-100-0-mod</t>
  </si>
  <si>
    <t xml:space="preserve">Data1-15-10-0.8-0.5-50-100-100-1</t>
  </si>
  <si>
    <t xml:space="preserve">Data1-15-10-0.8-0.5-50-100-100-1-mod</t>
  </si>
  <si>
    <t xml:space="preserve">Data1-15-10-0.8-0.5-50-100-100-2</t>
  </si>
  <si>
    <t xml:space="preserve">Data1-15-10-0.8-0.5-50-100-100-2-mod</t>
  </si>
  <si>
    <t xml:space="preserve">Data1-15-10-0.8-0.5-50-100-100-3</t>
  </si>
  <si>
    <t xml:space="preserve">Data1-15-10-0.8-0.5-50-100-100-3-mod</t>
  </si>
  <si>
    <t xml:space="preserve">Data1-15-10-0.8-0.5-50-100-100-4</t>
  </si>
  <si>
    <t xml:space="preserve">Data1-15-10-0.8-0.5-50-100-100-4-mod</t>
  </si>
  <si>
    <t xml:space="preserve">Data1-15-10-0.8-0.5-50-100-100-5</t>
  </si>
  <si>
    <t xml:space="preserve">Data1-15-10-0.8-0.5-50-100-100-5-mod</t>
  </si>
  <si>
    <t xml:space="preserve">Data1-15-10-0.8-0.5-50-100-100-6</t>
  </si>
  <si>
    <t xml:space="preserve">Data1-15-10-0.8-0.5-50-100-100-6-mod</t>
  </si>
  <si>
    <t xml:space="preserve">Data1-15-10-0.8-0.5-50-100-100-7</t>
  </si>
  <si>
    <t xml:space="preserve">Data1-15-10-0.8-0.5-50-100-100-7-mod</t>
  </si>
  <si>
    <t xml:space="preserve">Data1-15-10-0.8-0.5-50-100-100-8</t>
  </si>
  <si>
    <t xml:space="preserve">Data1-15-10-0.8-0.5-50-100-100-8-mod</t>
  </si>
  <si>
    <t xml:space="preserve">Data1-15-10-0.8-0.5-50-100-100-9</t>
  </si>
  <si>
    <t xml:space="preserve">Data1-15-10-0.8-0.5-50-100-100-9-mod</t>
  </si>
  <si>
    <t xml:space="preserve">Data1-15-15-0.6-0.5-100-100-100-0</t>
  </si>
  <si>
    <t xml:space="preserve">Data1-15-15-0.6-0.5-100-100-100-0-mod</t>
  </si>
  <si>
    <t xml:space="preserve">Data1-15-15-0.6-0.5-100-100-100-1</t>
  </si>
  <si>
    <t xml:space="preserve">Data1-15-15-0.6-0.5-100-100-100-1-mod</t>
  </si>
  <si>
    <t xml:space="preserve">Data1-15-15-0.6-0.5-100-100-100-2</t>
  </si>
  <si>
    <t xml:space="preserve">Data1-15-15-0.6-0.5-100-100-100-2-mod</t>
  </si>
  <si>
    <t xml:space="preserve">Data1-15-15-0.6-0.5-100-100-100-3</t>
  </si>
  <si>
    <t xml:space="preserve">Data1-15-15-0.6-0.5-100-100-100-3-mod</t>
  </si>
  <si>
    <t xml:space="preserve">Data1-15-15-0.6-0.5-100-100-100-4</t>
  </si>
  <si>
    <t xml:space="preserve">Data1-15-15-0.6-0.5-100-100-100-4-mod</t>
  </si>
  <si>
    <t xml:space="preserve">Data1-15-15-0.6-0.5-100-100-100-5</t>
  </si>
  <si>
    <t xml:space="preserve">Data1-15-15-0.6-0.5-100-100-100-5-mod</t>
  </si>
  <si>
    <t xml:space="preserve">Data1-15-15-0.6-0.5-100-100-100-6</t>
  </si>
  <si>
    <t xml:space="preserve">Data1-15-15-0.6-0.5-100-100-100-6-mod</t>
  </si>
  <si>
    <t xml:space="preserve">Data1-15-15-0.6-0.5-100-100-100-7</t>
  </si>
  <si>
    <t xml:space="preserve">Data1-15-15-0.6-0.5-100-100-100-7-mod</t>
  </si>
  <si>
    <t xml:space="preserve">Data1-15-15-0.6-0.5-100-100-100-8</t>
  </si>
  <si>
    <t xml:space="preserve">Data1-15-15-0.6-0.5-100-100-100-8-mod</t>
  </si>
  <si>
    <t xml:space="preserve">Data1-15-15-0.6-0.5-100-100-100-9</t>
  </si>
  <si>
    <t xml:space="preserve">Data1-15-15-0.6-0.5-100-100-100-9-mod</t>
  </si>
  <si>
    <t xml:space="preserve">Data1-15-15-0.6-0.5-50-100-100-0</t>
  </si>
  <si>
    <t xml:space="preserve">Data1-15-15-0.6-0.5-50-100-100-0-mod</t>
  </si>
  <si>
    <t xml:space="preserve">Data1-15-15-0.6-0.5-50-100-100-1</t>
  </si>
  <si>
    <t xml:space="preserve">Data1-15-15-0.6-0.5-50-100-100-1-mod</t>
  </si>
  <si>
    <t xml:space="preserve">Data1-15-15-0.6-0.5-50-100-100-2</t>
  </si>
  <si>
    <t xml:space="preserve">Data1-15-15-0.6-0.5-50-100-100-2-mod</t>
  </si>
  <si>
    <t xml:space="preserve">Data1-15-15-0.6-0.5-50-100-100-3</t>
  </si>
  <si>
    <t xml:space="preserve">Data1-15-15-0.6-0.5-50-100-100-3-mod</t>
  </si>
  <si>
    <t xml:space="preserve">Data1-15-15-0.6-0.5-50-100-100-4</t>
  </si>
  <si>
    <t xml:space="preserve">Data1-15-15-0.6-0.5-50-100-100-4-mod</t>
  </si>
  <si>
    <t xml:space="preserve">Data1-15-15-0.6-0.5-50-100-100-5</t>
  </si>
  <si>
    <t xml:space="preserve">Data1-15-15-0.6-0.5-50-100-100-5-mod</t>
  </si>
  <si>
    <t xml:space="preserve">Data1-15-15-0.6-0.5-50-100-100-6</t>
  </si>
  <si>
    <t xml:space="preserve">Data1-15-15-0.6-0.5-50-100-100-6-mod</t>
  </si>
  <si>
    <t xml:space="preserve">Data1-15-15-0.6-0.5-50-100-100-7</t>
  </si>
  <si>
    <t xml:space="preserve">Data1-15-15-0.6-0.5-50-100-100-7-mod</t>
  </si>
  <si>
    <t xml:space="preserve">Data1-15-15-0.6-0.5-50-100-100-8</t>
  </si>
  <si>
    <t xml:space="preserve">Data1-15-15-0.6-0.5-50-100-100-8-mod</t>
  </si>
  <si>
    <t xml:space="preserve">Data1-15-15-0.6-0.5-50-100-100-9</t>
  </si>
  <si>
    <t xml:space="preserve">Data1-15-15-0.6-0.5-50-100-100-9-mod</t>
  </si>
  <si>
    <t xml:space="preserve">Data1-15-15-0.8-0.5-100-100-100-0</t>
  </si>
  <si>
    <t xml:space="preserve">Data1-15-15-0.8-0.5-100-100-100-0-mod</t>
  </si>
  <si>
    <t xml:space="preserve">Data1-15-15-0.8-0.5-100-100-100-1</t>
  </si>
  <si>
    <t xml:space="preserve">Data1-15-15-0.8-0.5-100-100-100-1-mod</t>
  </si>
  <si>
    <t xml:space="preserve">Data1-15-15-0.8-0.5-100-100-100-2</t>
  </si>
  <si>
    <t xml:space="preserve">Data1-15-15-0.8-0.5-100-100-100-2-mod</t>
  </si>
  <si>
    <t xml:space="preserve">Data1-15-15-0.8-0.5-100-100-100-3</t>
  </si>
  <si>
    <t xml:space="preserve">Data1-15-15-0.8-0.5-100-100-100-3-mod</t>
  </si>
  <si>
    <t xml:space="preserve">Data1-15-15-0.8-0.5-100-100-100-4</t>
  </si>
  <si>
    <t xml:space="preserve">Data1-15-15-0.8-0.5-100-100-100-4-mod</t>
  </si>
  <si>
    <t xml:space="preserve">Data1-15-15-0.8-0.5-100-100-100-5</t>
  </si>
  <si>
    <t xml:space="preserve">Data1-15-15-0.8-0.5-100-100-100-5-mod</t>
  </si>
  <si>
    <t xml:space="preserve">Data1-15-15-0.8-0.5-100-100-100-6</t>
  </si>
  <si>
    <t xml:space="preserve">Data1-15-15-0.8-0.5-100-100-100-6-mod</t>
  </si>
  <si>
    <t xml:space="preserve">Data1-15-15-0.8-0.5-100-100-100-7</t>
  </si>
  <si>
    <t xml:space="preserve">Data1-15-15-0.8-0.5-100-100-100-7-mod</t>
  </si>
  <si>
    <t xml:space="preserve">Data1-15-15-0.8-0.5-100-100-100-8</t>
  </si>
  <si>
    <t xml:space="preserve">Data1-15-15-0.8-0.5-100-100-100-8-mod</t>
  </si>
  <si>
    <t xml:space="preserve">Data1-15-15-0.8-0.5-100-100-100-9</t>
  </si>
  <si>
    <t xml:space="preserve">Data1-15-15-0.8-0.5-100-100-100-9-mod</t>
  </si>
  <si>
    <t xml:space="preserve">Data1-15-15-0.8-0.5-50-100-100-0</t>
  </si>
  <si>
    <t xml:space="preserve">Data1-15-15-0.8-0.5-50-100-100-0-mod</t>
  </si>
  <si>
    <t xml:space="preserve">Data1-15-15-0.8-0.5-50-100-100-1</t>
  </si>
  <si>
    <t xml:space="preserve">Data1-15-15-0.8-0.5-50-100-100-1-mod</t>
  </si>
  <si>
    <t xml:space="preserve">Data1-15-15-0.8-0.5-50-100-100-2</t>
  </si>
  <si>
    <t xml:space="preserve">Data1-15-15-0.8-0.5-50-100-100-2-mod</t>
  </si>
  <si>
    <t xml:space="preserve">Data1-15-15-0.8-0.5-50-100-100-3</t>
  </si>
  <si>
    <t xml:space="preserve">Data1-15-15-0.8-0.5-50-100-100-3-mod</t>
  </si>
  <si>
    <t xml:space="preserve">Data1-15-15-0.8-0.5-50-100-100-4</t>
  </si>
  <si>
    <t xml:space="preserve">Data1-15-15-0.8-0.5-50-100-100-4-mod</t>
  </si>
  <si>
    <t xml:space="preserve">Data1-15-15-0.8-0.5-50-100-100-5</t>
  </si>
  <si>
    <t xml:space="preserve">Data1-15-15-0.8-0.5-50-100-100-5-mod</t>
  </si>
  <si>
    <t xml:space="preserve">Data1-15-15-0.8-0.5-50-100-100-6</t>
  </si>
  <si>
    <t xml:space="preserve">Data1-15-15-0.8-0.5-50-100-100-6-mod</t>
  </si>
  <si>
    <t xml:space="preserve">Data1-15-15-0.8-0.5-50-100-100-7</t>
  </si>
  <si>
    <t xml:space="preserve">Data1-15-15-0.8-0.5-50-100-100-7-mod</t>
  </si>
  <si>
    <t xml:space="preserve">Data1-15-15-0.8-0.5-50-100-100-8</t>
  </si>
  <si>
    <t xml:space="preserve">Data1-15-15-0.8-0.5-50-100-100-8-mod</t>
  </si>
  <si>
    <t xml:space="preserve">Data1-15-15-0.8-0.5-50-100-100-9</t>
  </si>
  <si>
    <t xml:space="preserve">Data1-15-15-0.8-0.5-50-100-100-9-mod</t>
  </si>
  <si>
    <t xml:space="preserve">Data1-25-10-0.6-0.5-100-100-100-0</t>
  </si>
  <si>
    <t xml:space="preserve">Data1-25-10-0.6-0.5-100-100-100-0-mod</t>
  </si>
  <si>
    <t xml:space="preserve">Data1-25-10-0.6-0.5-100-100-100-1</t>
  </si>
  <si>
    <t xml:space="preserve">Data1-25-10-0.6-0.5-100-100-100-1-mod</t>
  </si>
  <si>
    <t xml:space="preserve">Data1-25-10-0.6-0.5-100-100-100-2</t>
  </si>
  <si>
    <t xml:space="preserve">Data1-25-10-0.6-0.5-100-100-100-2-mod</t>
  </si>
  <si>
    <t xml:space="preserve">Data1-25-10-0.6-0.5-100-100-100-3</t>
  </si>
  <si>
    <t xml:space="preserve">Data1-25-10-0.6-0.5-100-100-100-3-mod</t>
  </si>
  <si>
    <t xml:space="preserve">Data1-25-10-0.6-0.5-100-100-100-4</t>
  </si>
  <si>
    <t xml:space="preserve">Data1-25-10-0.6-0.5-100-100-100-4-mod</t>
  </si>
  <si>
    <t xml:space="preserve">Data1-25-10-0.6-0.5-100-100-100-5</t>
  </si>
  <si>
    <t xml:space="preserve">Data1-25-10-0.6-0.5-100-100-100-5-mod</t>
  </si>
  <si>
    <t xml:space="preserve">Data1-25-10-0.6-0.5-100-100-100-6</t>
  </si>
  <si>
    <t xml:space="preserve">Data1-25-10-0.6-0.5-100-100-100-6-mod</t>
  </si>
  <si>
    <t xml:space="preserve">Data1-25-10-0.6-0.5-100-100-100-7</t>
  </si>
  <si>
    <t xml:space="preserve">Data1-25-10-0.6-0.5-100-100-100-7-mod</t>
  </si>
  <si>
    <t xml:space="preserve">Data1-25-10-0.6-0.5-100-100-100-8</t>
  </si>
  <si>
    <t xml:space="preserve">Data1-25-10-0.6-0.5-100-100-100-8-mod</t>
  </si>
  <si>
    <t xml:space="preserve">Data1-25-10-0.6-0.5-100-100-100-9</t>
  </si>
  <si>
    <t xml:space="preserve">Data1-25-10-0.6-0.5-100-100-100-9-mod</t>
  </si>
  <si>
    <t xml:space="preserve">Data1-25-10-0.6-0.5-50-100-100-0</t>
  </si>
  <si>
    <t xml:space="preserve">Data1-25-10-0.6-0.5-50-100-100-0-mod</t>
  </si>
  <si>
    <t xml:space="preserve">Data1-25-10-0.6-0.5-50-100-100-1</t>
  </si>
  <si>
    <t xml:space="preserve">Data1-25-10-0.6-0.5-50-100-100-1-mod</t>
  </si>
  <si>
    <t xml:space="preserve">Data1-25-10-0.6-0.5-50-100-100-2</t>
  </si>
  <si>
    <t xml:space="preserve">Data1-25-10-0.6-0.5-50-100-100-2-mod</t>
  </si>
  <si>
    <t xml:space="preserve">Data1-25-10-0.6-0.5-50-100-100-3</t>
  </si>
  <si>
    <t xml:space="preserve">Data1-25-10-0.6-0.5-50-100-100-3-mod</t>
  </si>
  <si>
    <t xml:space="preserve">Data1-25-10-0.6-0.5-50-100-100-4</t>
  </si>
  <si>
    <t xml:space="preserve">Data1-25-10-0.6-0.5-50-100-100-4-mod</t>
  </si>
  <si>
    <t xml:space="preserve">Data1-25-10-0.6-0.5-50-100-100-5</t>
  </si>
  <si>
    <t xml:space="preserve">Data1-25-10-0.6-0.5-50-100-100-5-mod</t>
  </si>
  <si>
    <t xml:space="preserve">Data1-25-10-0.6-0.5-50-100-100-6</t>
  </si>
  <si>
    <t xml:space="preserve">Data1-25-10-0.6-0.5-50-100-100-6-mod</t>
  </si>
  <si>
    <t xml:space="preserve">Data1-25-10-0.6-0.5-50-100-100-7</t>
  </si>
  <si>
    <t xml:space="preserve">Data1-25-10-0.6-0.5-50-100-100-7-mod</t>
  </si>
  <si>
    <t xml:space="preserve">Data1-25-10-0.6-0.5-50-100-100-8</t>
  </si>
  <si>
    <t xml:space="preserve">Data1-25-10-0.6-0.5-50-100-100-8-mod</t>
  </si>
  <si>
    <t xml:space="preserve">Data1-25-10-0.6-0.5-50-100-100-9</t>
  </si>
  <si>
    <t xml:space="preserve">Data1-25-10-0.6-0.5-50-100-100-9-mod</t>
  </si>
  <si>
    <t xml:space="preserve">Data1-25-10-0.8-0.5-100-100-100-0</t>
  </si>
  <si>
    <t xml:space="preserve">Data1-25-10-0.8-0.5-100-100-100-0-mod</t>
  </si>
  <si>
    <t xml:space="preserve">Data1-25-10-0.8-0.5-100-100-100-1</t>
  </si>
  <si>
    <t xml:space="preserve">Data1-25-10-0.8-0.5-100-100-100-1-mod</t>
  </si>
  <si>
    <t xml:space="preserve">Data1-25-10-0.8-0.5-100-100-100-2</t>
  </si>
  <si>
    <t xml:space="preserve">Data1-25-10-0.8-0.5-100-100-100-2-mod</t>
  </si>
  <si>
    <t xml:space="preserve">Data1-25-10-0.8-0.5-100-100-100-3</t>
  </si>
  <si>
    <t xml:space="preserve">Data1-25-10-0.8-0.5-100-100-100-3-mod</t>
  </si>
  <si>
    <t xml:space="preserve">Data1-25-10-0.8-0.5-100-100-100-4</t>
  </si>
  <si>
    <t xml:space="preserve">Data1-25-10-0.8-0.5-100-100-100-4-mod</t>
  </si>
  <si>
    <t xml:space="preserve">Data1-25-10-0.8-0.5-100-100-100-5</t>
  </si>
  <si>
    <t xml:space="preserve">Data1-25-10-0.8-0.5-100-100-100-5-mod</t>
  </si>
  <si>
    <t xml:space="preserve">Data1-25-10-0.8-0.5-100-100-100-6</t>
  </si>
  <si>
    <t xml:space="preserve">Data1-25-10-0.8-0.5-100-100-100-6-mod</t>
  </si>
  <si>
    <t xml:space="preserve">Data1-25-10-0.8-0.5-100-100-100-7</t>
  </si>
  <si>
    <t xml:space="preserve">Data1-25-10-0.8-0.5-100-100-100-7-mod</t>
  </si>
  <si>
    <t xml:space="preserve">Data1-25-10-0.8-0.5-100-100-100-8</t>
  </si>
  <si>
    <t xml:space="preserve">Data1-25-10-0.8-0.5-100-100-100-8-mod</t>
  </si>
  <si>
    <t xml:space="preserve">Data1-25-10-0.8-0.5-100-100-100-9</t>
  </si>
  <si>
    <t xml:space="preserve">Data1-25-10-0.8-0.5-100-100-100-9-mod</t>
  </si>
  <si>
    <t xml:space="preserve">Data1-25-10-0.8-0.5-50-100-100-0</t>
  </si>
  <si>
    <t xml:space="preserve">Data1-25-10-0.8-0.5-50-100-100-0-mod</t>
  </si>
  <si>
    <t xml:space="preserve">Data1-25-10-0.8-0.5-50-100-100-1</t>
  </si>
  <si>
    <t xml:space="preserve">Data1-25-10-0.8-0.5-50-100-100-1-mod</t>
  </si>
  <si>
    <t xml:space="preserve">Data1-25-10-0.8-0.5-50-100-100-2</t>
  </si>
  <si>
    <t xml:space="preserve">Data1-25-10-0.8-0.5-50-100-100-2-mod</t>
  </si>
  <si>
    <t xml:space="preserve">Data1-25-10-0.8-0.5-50-100-100-3</t>
  </si>
  <si>
    <t xml:space="preserve">Data1-25-10-0.8-0.5-50-100-100-3-mod</t>
  </si>
  <si>
    <t xml:space="preserve">Data1-25-10-0.8-0.5-50-100-100-4</t>
  </si>
  <si>
    <t xml:space="preserve">Data1-25-10-0.8-0.5-50-100-100-4-mod</t>
  </si>
  <si>
    <t xml:space="preserve">Data1-25-10-0.8-0.5-50-100-100-5</t>
  </si>
  <si>
    <t xml:space="preserve">Data1-25-10-0.8-0.5-50-100-100-5-mod</t>
  </si>
  <si>
    <t xml:space="preserve">Data1-25-10-0.8-0.5-50-100-100-6</t>
  </si>
  <si>
    <t xml:space="preserve">Data1-25-10-0.8-0.5-50-100-100-6-mod</t>
  </si>
  <si>
    <t xml:space="preserve">Data1-25-10-0.8-0.5-50-100-100-7</t>
  </si>
  <si>
    <t xml:space="preserve">Data1-25-10-0.8-0.5-50-100-100-7-mod</t>
  </si>
  <si>
    <t xml:space="preserve">Data1-25-10-0.8-0.5-50-100-100-8</t>
  </si>
  <si>
    <t xml:space="preserve">Data1-25-10-0.8-0.5-50-100-100-8-mod</t>
  </si>
  <si>
    <t xml:space="preserve">Data1-25-10-0.8-0.5-50-100-100-9</t>
  </si>
  <si>
    <t xml:space="preserve">Data1-25-10-0.8-0.5-50-100-100-9-mod</t>
  </si>
  <si>
    <t xml:space="preserve">Data1-25-15-0.6-0.5-100-100-100-0</t>
  </si>
  <si>
    <t xml:space="preserve">Data1-25-15-0.6-0.5-100-100-100-0-mod</t>
  </si>
  <si>
    <t xml:space="preserve">Data1-25-15-0.6-0.5-100-100-100-1</t>
  </si>
  <si>
    <t xml:space="preserve">Data1-25-15-0.6-0.5-100-100-100-1-mod</t>
  </si>
  <si>
    <t xml:space="preserve">Data1-25-15-0.6-0.5-100-100-100-2</t>
  </si>
  <si>
    <t xml:space="preserve">Data1-25-15-0.6-0.5-100-100-100-2-mod</t>
  </si>
  <si>
    <t xml:space="preserve">Data1-25-15-0.6-0.5-100-100-100-3</t>
  </si>
  <si>
    <t xml:space="preserve">Data1-25-15-0.6-0.5-100-100-100-3-mod</t>
  </si>
  <si>
    <t xml:space="preserve">Data1-25-15-0.6-0.5-100-100-100-4</t>
  </si>
  <si>
    <t xml:space="preserve">Data1-25-15-0.6-0.5-100-100-100-4-mod</t>
  </si>
  <si>
    <t xml:space="preserve">Data1-25-15-0.6-0.5-100-100-100-5</t>
  </si>
  <si>
    <t xml:space="preserve">Data1-25-15-0.6-0.5-100-100-100-5-mod</t>
  </si>
  <si>
    <t xml:space="preserve">Data1-25-15-0.6-0.5-100-100-100-6</t>
  </si>
  <si>
    <t xml:space="preserve">Data1-25-15-0.6-0.5-100-100-100-6-mod</t>
  </si>
  <si>
    <t xml:space="preserve">Data1-25-15-0.6-0.5-100-100-100-7</t>
  </si>
  <si>
    <t xml:space="preserve">Data1-25-15-0.6-0.5-100-100-100-7-mod</t>
  </si>
  <si>
    <t xml:space="preserve">Data1-25-15-0.6-0.5-100-100-100-8</t>
  </si>
  <si>
    <t xml:space="preserve">Data1-25-15-0.6-0.5-100-100-100-8-mod</t>
  </si>
  <si>
    <t xml:space="preserve">Data1-25-15-0.6-0.5-100-100-100-9</t>
  </si>
  <si>
    <t xml:space="preserve">Data1-25-15-0.6-0.5-100-100-100-9-mod</t>
  </si>
  <si>
    <t xml:space="preserve">Data1-25-15-0.6-0.5-50-100-100-0</t>
  </si>
  <si>
    <t xml:space="preserve">Data1-25-15-0.6-0.5-50-100-100-0-mod</t>
  </si>
  <si>
    <t xml:space="preserve">Data1-25-15-0.6-0.5-50-100-100-1</t>
  </si>
  <si>
    <t xml:space="preserve">Data1-25-15-0.6-0.5-50-100-100-1-mod</t>
  </si>
  <si>
    <t xml:space="preserve">Data1-25-15-0.6-0.5-50-100-100-2</t>
  </si>
  <si>
    <t xml:space="preserve">Data1-25-15-0.6-0.5-50-100-100-2-mod</t>
  </si>
  <si>
    <t xml:space="preserve">Data1-25-15-0.6-0.5-50-100-100-3</t>
  </si>
  <si>
    <t xml:space="preserve">Data1-25-15-0.6-0.5-50-100-100-3-mod</t>
  </si>
  <si>
    <t xml:space="preserve">Data1-25-15-0.6-0.5-50-100-100-4</t>
  </si>
  <si>
    <t xml:space="preserve">Data1-25-15-0.6-0.5-50-100-100-4-mod</t>
  </si>
  <si>
    <t xml:space="preserve">Data1-25-15-0.6-0.5-50-100-100-5</t>
  </si>
  <si>
    <t xml:space="preserve">Data1-25-15-0.6-0.5-50-100-100-5-mod</t>
  </si>
  <si>
    <t xml:space="preserve">Data1-25-15-0.6-0.5-50-100-100-6</t>
  </si>
  <si>
    <t xml:space="preserve">Data1-25-15-0.6-0.5-50-100-100-6-mod</t>
  </si>
  <si>
    <t xml:space="preserve">Data1-25-15-0.6-0.5-50-100-100-7</t>
  </si>
  <si>
    <t xml:space="preserve">Data1-25-15-0.6-0.5-50-100-100-7-mod</t>
  </si>
  <si>
    <t xml:space="preserve">Data1-25-15-0.6-0.5-50-100-100-8</t>
  </si>
  <si>
    <t xml:space="preserve">Data1-25-15-0.6-0.5-50-100-100-8-mod</t>
  </si>
  <si>
    <t xml:space="preserve">Data1-25-15-0.6-0.5-50-100-100-9</t>
  </si>
  <si>
    <t xml:space="preserve">Data1-25-15-0.6-0.5-50-100-100-9-mod</t>
  </si>
  <si>
    <t xml:space="preserve">Data1-25-15-0.8-0.5-100-100-100-0</t>
  </si>
  <si>
    <t xml:space="preserve">Data1-25-15-0.8-0.5-100-100-100-0-mod</t>
  </si>
  <si>
    <t xml:space="preserve">Data1-25-15-0.8-0.5-100-100-100-1</t>
  </si>
  <si>
    <t xml:space="preserve">Data1-25-15-0.8-0.5-100-100-100-1-mod</t>
  </si>
  <si>
    <t xml:space="preserve">Data1-25-15-0.8-0.5-100-100-100-2</t>
  </si>
  <si>
    <t xml:space="preserve">Data1-25-15-0.8-0.5-100-100-100-2-mod</t>
  </si>
  <si>
    <t xml:space="preserve">Data1-25-15-0.8-0.5-100-100-100-3</t>
  </si>
  <si>
    <t xml:space="preserve">Data1-25-15-0.8-0.5-100-100-100-3-mod</t>
  </si>
  <si>
    <t xml:space="preserve">Data1-25-15-0.8-0.5-100-100-100-4</t>
  </si>
  <si>
    <t xml:space="preserve">Data1-25-15-0.8-0.5-100-100-100-4-mod</t>
  </si>
  <si>
    <t xml:space="preserve">Data1-25-15-0.8-0.5-100-100-100-5</t>
  </si>
  <si>
    <t xml:space="preserve">Data1-25-15-0.8-0.5-100-100-100-5-mod</t>
  </si>
  <si>
    <t xml:space="preserve">Data1-25-15-0.8-0.5-100-100-100-6</t>
  </si>
  <si>
    <t xml:space="preserve">Data1-25-15-0.8-0.5-100-100-100-6-mod</t>
  </si>
  <si>
    <t xml:space="preserve">Data1-25-15-0.8-0.5-100-100-100-7</t>
  </si>
  <si>
    <t xml:space="preserve">Data1-25-15-0.8-0.5-100-100-100-7-mod</t>
  </si>
  <si>
    <t xml:space="preserve">Data1-25-15-0.8-0.5-100-100-100-8</t>
  </si>
  <si>
    <t xml:space="preserve">Data1-25-15-0.8-0.5-100-100-100-8-mod</t>
  </si>
  <si>
    <t xml:space="preserve">Data1-25-15-0.8-0.5-100-100-100-9</t>
  </si>
  <si>
    <t xml:space="preserve">Data1-25-15-0.8-0.5-100-100-100-9-mod</t>
  </si>
  <si>
    <t xml:space="preserve">Data1-25-15-0.8-0.5-50-100-100-0</t>
  </si>
  <si>
    <t xml:space="preserve">Data1-25-15-0.8-0.5-50-100-100-0-mod</t>
  </si>
  <si>
    <t xml:space="preserve">Data1-25-15-0.8-0.5-50-100-100-1</t>
  </si>
  <si>
    <t xml:space="preserve">Data1-25-15-0.8-0.5-50-100-100-1-mod</t>
  </si>
  <si>
    <t xml:space="preserve">Data1-25-15-0.8-0.5-50-100-100-2</t>
  </si>
  <si>
    <t xml:space="preserve">Data1-25-15-0.8-0.5-50-100-100-2-mod</t>
  </si>
  <si>
    <t xml:space="preserve">Data1-25-15-0.8-0.5-50-100-100-3</t>
  </si>
  <si>
    <t xml:space="preserve">Data1-25-15-0.8-0.5-50-100-100-3-mod</t>
  </si>
  <si>
    <t xml:space="preserve">Data1-25-15-0.8-0.5-50-100-100-4</t>
  </si>
  <si>
    <t xml:space="preserve">Data1-25-15-0.8-0.5-50-100-100-4-mod</t>
  </si>
  <si>
    <t xml:space="preserve">Data1-25-15-0.8-0.5-50-100-100-5</t>
  </si>
  <si>
    <t xml:space="preserve">Data1-25-15-0.8-0.5-50-100-100-5-mod</t>
  </si>
  <si>
    <t xml:space="preserve">Data1-25-15-0.8-0.5-50-100-100-6</t>
  </si>
  <si>
    <t xml:space="preserve">Data1-25-15-0.8-0.5-50-100-100-6-mod</t>
  </si>
  <si>
    <t xml:space="preserve">Data1-25-15-0.8-0.5-50-100-100-7</t>
  </si>
  <si>
    <t xml:space="preserve">Data1-25-15-0.8-0.5-50-100-100-7-mod</t>
  </si>
  <si>
    <t xml:space="preserve">Data1-25-15-0.8-0.5-50-100-100-8</t>
  </si>
  <si>
    <t xml:space="preserve">Data1-25-15-0.8-0.5-50-100-100-8-mod</t>
  </si>
  <si>
    <t xml:space="preserve">Data1-25-15-0.8-0.5-50-100-100-9</t>
  </si>
  <si>
    <t xml:space="preserve">Data1-25-15-0.8-0.5-50-100-100-9-mod</t>
  </si>
  <si>
    <t xml:space="preserve">Guimaraes</t>
  </si>
  <si>
    <t xml:space="preserve">gap</t>
  </si>
  <si>
    <t xml:space="preserve">RFO</t>
  </si>
  <si>
    <t xml:space="preserve">UB</t>
  </si>
  <si>
    <t xml:space="preserve">time</t>
  </si>
  <si>
    <t xml:space="preserve">LB</t>
  </si>
  <si>
    <t xml:space="preserve">RFO-KS</t>
  </si>
  <si>
    <t xml:space="preserve">RFO-PR</t>
  </si>
  <si>
    <t xml:space="preserve">../../../../Instancias/instances_TNT/Data1-15-10-0.6-0.5-100-100-100-0-mod.txt</t>
  </si>
  <si>
    <t xml:space="preserve">../../../../Instancias/instances_TNT/Data1-15-10-0.6-0.5-100-100-100-1-mod.txt</t>
  </si>
  <si>
    <t xml:space="preserve">../../../../Instancias/instances_TNT/Data1-15-10-0.6-0.5-100-100-100-2-mod.txt</t>
  </si>
  <si>
    <t xml:space="preserve">../../../../Instancias/instances_TNT/Data1-15-10-0.6-0.5-100-100-100-3-mod.txt</t>
  </si>
  <si>
    <t xml:space="preserve">../../../../Instancias/instances_TNT/Data1-15-10-0.6-0.5-100-100-100-4-mod.txt</t>
  </si>
  <si>
    <t xml:space="preserve">../../../../Instancias/instances_TNT/Data1-15-10-0.6-0.5-100-100-100-5-mod.txt</t>
  </si>
  <si>
    <t xml:space="preserve">../../../../Instancias/instances_TNT/Data1-15-10-0.6-0.5-100-100-100-6-mod.txt</t>
  </si>
  <si>
    <t xml:space="preserve">../../../../Instancias/instances_TNT/Data1-15-10-0.6-0.5-100-100-100-7-mod.txt</t>
  </si>
  <si>
    <t xml:space="preserve">../../../../Instancias/instances_TNT/Data1-15-10-0.6-0.5-100-100-100-8-mod.txt</t>
  </si>
  <si>
    <t xml:space="preserve">../../../../Instancias/instances_TNT/Data1-15-10-0.6-0.5-100-100-100-9-mod.txt</t>
  </si>
  <si>
    <t xml:space="preserve">../../../../Instancias/instances_TNT/Data1-15-10-0.6-0.5-50-100-100-0-mod.txt</t>
  </si>
  <si>
    <t xml:space="preserve">../../../../Instancias/instances_TNT/Data1-15-10-0.6-0.5-50-100-100-1-mod.txt</t>
  </si>
  <si>
    <t xml:space="preserve">../../../../Instancias/instances_TNT/Data1-15-10-0.6-0.5-50-100-100-2-mod.txt</t>
  </si>
  <si>
    <t xml:space="preserve">../../../../Instancias/instances_TNT/Data1-15-10-0.6-0.5-50-100-100-3-mod.txt</t>
  </si>
  <si>
    <t xml:space="preserve">../../../../Instancias/instances_TNT/Data1-15-10-0.6-0.5-50-100-100-4-mod.txt</t>
  </si>
  <si>
    <t xml:space="preserve">../../../../Instancias/instances_TNT/Data1-15-10-0.6-0.5-50-100-100-5-mod.txt</t>
  </si>
  <si>
    <t xml:space="preserve">../../../../Instancias/instances_TNT/Data1-15-10-0.6-0.5-50-100-100-6-mod.txt</t>
  </si>
  <si>
    <t xml:space="preserve">../../../../Instancias/instances_TNT/Data1-15-10-0.6-0.5-50-100-100-7-mod.txt</t>
  </si>
  <si>
    <t xml:space="preserve">../../../../Instancias/instances_TNT/Data1-15-10-0.6-0.5-50-100-100-8-mod.txt</t>
  </si>
  <si>
    <t xml:space="preserve">../../../../Instancias/instances_TNT/Data1-15-10-0.6-0.5-50-100-100-9-mod.txt</t>
  </si>
  <si>
    <t xml:space="preserve">../../../../Instancias/instances_TNT/Data1-15-10-0.8-0.5-100-100-100-0-mod.txt</t>
  </si>
  <si>
    <t xml:space="preserve">../../../../Instancias/instances_TNT/Data1-15-10-0.8-0.5-100-100-100-1-mod.txt</t>
  </si>
  <si>
    <t xml:space="preserve">../../../../Instancias/instances_TNT/Data1-15-10-0.8-0.5-100-100-100-2-mod.txt</t>
  </si>
  <si>
    <t xml:space="preserve">../../../../Instancias/instances_TNT/Data1-15-10-0.8-0.5-100-100-100-3-mod.txt</t>
  </si>
  <si>
    <t xml:space="preserve">../../../../Instancias/instances_TNT/Data1-15-10-0.8-0.5-100-100-100-4-mod.txt</t>
  </si>
  <si>
    <t xml:space="preserve">../../../../Instancias/instances_TNT/Data1-15-10-0.8-0.5-100-100-100-5-mod.txt</t>
  </si>
  <si>
    <t xml:space="preserve">../../../../Instancias/instances_TNT/Data1-15-10-0.8-0.5-100-100-100-6-mod.txt</t>
  </si>
  <si>
    <t xml:space="preserve">../../../../Instancias/instances_TNT/Data1-15-10-0.8-0.5-100-100-100-7-mod.txt</t>
  </si>
  <si>
    <t xml:space="preserve">../../../../Instancias/instances_TNT/Data1-15-10-0.8-0.5-100-100-100-8-mod.txt</t>
  </si>
  <si>
    <t xml:space="preserve">../../../../Instancias/instances_TNT/Data1-15-10-0.8-0.5-100-100-100-9-mod.txt</t>
  </si>
  <si>
    <t xml:space="preserve">../../../../Instancias/instances_TNT/Data1-15-10-0.8-0.5-50-100-100-0-mod.txt</t>
  </si>
  <si>
    <t xml:space="preserve">../../../../Instancias/instances_TNT/Data1-15-10-0.8-0.5-50-100-100-1-mod.txt</t>
  </si>
  <si>
    <t xml:space="preserve">../../../../Instancias/instances_TNT/Data1-15-10-0.8-0.5-50-100-100-2-mod.txt</t>
  </si>
  <si>
    <t xml:space="preserve">../../../../Instancias/instances_TNT/Data1-15-10-0.8-0.5-50-100-100-3-mod.txt</t>
  </si>
  <si>
    <t xml:space="preserve">../../../../Instancias/instances_TNT/Data1-15-10-0.8-0.5-50-100-100-4-mod.txt</t>
  </si>
  <si>
    <t xml:space="preserve">../../../../Instancias/instances_TNT/Data1-15-10-0.8-0.5-50-100-100-5-mod.txt</t>
  </si>
  <si>
    <t xml:space="preserve">../../../../Instancias/instances_TNT/Data1-15-10-0.8-0.5-50-100-100-6-mod.txt</t>
  </si>
  <si>
    <t xml:space="preserve">../../../../Instancias/instances_TNT/Data1-15-10-0.8-0.5-50-100-100-7-mod.txt</t>
  </si>
  <si>
    <t xml:space="preserve">../../../../Instancias/instances_TNT/Data1-15-10-0.8-0.5-50-100-100-8-mod.txt</t>
  </si>
  <si>
    <t xml:space="preserve">../../../../Instancias/instances_TNT/Data1-15-10-0.8-0.5-50-100-100-9-mod.txt</t>
  </si>
  <si>
    <t xml:space="preserve">../../../../Instancias/instances_TNT/Data1-15-15-0.6-0.5-100-100-100-0-mod.txt</t>
  </si>
  <si>
    <t xml:space="preserve">../../../../Instancias/instances_TNT/Data1-15-15-0.6-0.5-100-100-100-1-mod.txt</t>
  </si>
  <si>
    <t xml:space="preserve">../../../../Instancias/instances_TNT/Data1-15-15-0.6-0.5-100-100-100-2-mod.txt</t>
  </si>
  <si>
    <t xml:space="preserve">../../../../Instancias/instances_TNT/Data1-15-15-0.6-0.5-100-100-100-3-mod.txt</t>
  </si>
  <si>
    <t xml:space="preserve">../../../../Instancias/instances_TNT/Data1-15-15-0.6-0.5-100-100-100-4-mod.txt</t>
  </si>
  <si>
    <t xml:space="preserve">../../../../Instancias/instances_TNT/Data1-15-15-0.6-0.5-100-100-100-5-mod.txt</t>
  </si>
  <si>
    <t xml:space="preserve">../../../../Instancias/instances_TNT/Data1-15-15-0.6-0.5-100-100-100-6-mod.txt</t>
  </si>
  <si>
    <t xml:space="preserve">../../../../Instancias/instances_TNT/Data1-15-15-0.6-0.5-100-100-100-7-mod.txt</t>
  </si>
  <si>
    <t xml:space="preserve">../../../../Instancias/instances_TNT/Data1-15-15-0.6-0.5-100-100-100-8-mod.txt</t>
  </si>
  <si>
    <t xml:space="preserve">../../../../Instancias/instances_TNT/Data1-15-15-0.6-0.5-100-100-100-9-mod.txt</t>
  </si>
  <si>
    <t xml:space="preserve">../../../../Instancias/instances_TNT/Data1-15-15-0.6-0.5-50-100-100-0-mod.txt</t>
  </si>
  <si>
    <t xml:space="preserve">../../../../Instancias/instances_TNT/Data1-15-15-0.6-0.5-50-100-100-1-mod.txt</t>
  </si>
  <si>
    <t xml:space="preserve">../../../../Instancias/instances_TNT/Data1-15-15-0.6-0.5-50-100-100-2-mod.txt</t>
  </si>
  <si>
    <t xml:space="preserve">../../../../Instancias/instances_TNT/Data1-15-15-0.6-0.5-50-100-100-3-mod.txt</t>
  </si>
  <si>
    <t xml:space="preserve">../../../../Instancias/instances_TNT/Data1-15-15-0.6-0.5-50-100-100-4-mod.txt</t>
  </si>
  <si>
    <t xml:space="preserve">../../../../Instancias/instances_TNT/Data1-15-15-0.6-0.5-50-100-100-5-mod.txt</t>
  </si>
  <si>
    <t xml:space="preserve">../../../../Instancias/instances_TNT/Data1-15-15-0.6-0.5-50-100-100-6-mod.txt</t>
  </si>
  <si>
    <t xml:space="preserve">../../../../Instancias/instances_TNT/Data1-15-15-0.6-0.5-50-100-100-7-mod.txt</t>
  </si>
  <si>
    <t xml:space="preserve">../../../../Instancias/instances_TNT/Data1-15-15-0.6-0.5-50-100-100-8-mod.txt</t>
  </si>
  <si>
    <t xml:space="preserve">../../../../Instancias/instances_TNT/Data1-15-15-0.6-0.5-50-100-100-9-mod.txt</t>
  </si>
  <si>
    <t xml:space="preserve">../../../../Instancias/instances_TNT/Data1-15-15-0.8-0.5-100-100-100-0-mod.txt</t>
  </si>
  <si>
    <t xml:space="preserve">../../../../Instancias/instances_TNT/Data1-15-15-0.8-0.5-100-100-100-1-mod.txt</t>
  </si>
  <si>
    <t xml:space="preserve">../../../../Instancias/instances_TNT/Data1-15-15-0.8-0.5-100-100-100-2-mod.txt</t>
  </si>
  <si>
    <t xml:space="preserve">../../../../Instancias/instances_TNT/Data1-15-15-0.8-0.5-100-100-100-3-mod.txt</t>
  </si>
  <si>
    <t xml:space="preserve">../../../../Instancias/instances_TNT/Data1-15-15-0.8-0.5-100-100-100-4-mod.txt</t>
  </si>
  <si>
    <t xml:space="preserve">../../../../Instancias/instances_TNT/Data1-15-15-0.8-0.5-100-100-100-5-mod.txt</t>
  </si>
  <si>
    <t xml:space="preserve">../../../../Instancias/instances_TNT/Data1-15-15-0.8-0.5-100-100-100-6-mod.txt</t>
  </si>
  <si>
    <t xml:space="preserve">../../../../Instancias/instances_TNT/Data1-15-15-0.8-0.5-100-100-100-7-mod.txt</t>
  </si>
  <si>
    <t xml:space="preserve">../../../../Instancias/instances_TNT/Data1-15-15-0.8-0.5-100-100-100-8-mod.txt</t>
  </si>
  <si>
    <t xml:space="preserve">../../../../Instancias/instances_TNT/Data1-15-15-0.8-0.5-100-100-100-9-mod.txt</t>
  </si>
  <si>
    <t xml:space="preserve">../../../../Instancias/instances_TNT/Data1-15-15-0.8-0.5-50-100-100-0-mod.txt</t>
  </si>
  <si>
    <t xml:space="preserve">../../../../Instancias/instances_TNT/Data1-15-15-0.8-0.5-50-100-100-1-mod.txt</t>
  </si>
  <si>
    <t xml:space="preserve">../../../../Instancias/instances_TNT/Data1-15-15-0.8-0.5-50-100-100-2-mod.txt</t>
  </si>
  <si>
    <t xml:space="preserve">../../../../Instancias/instances_TNT/Data1-15-15-0.8-0.5-50-100-100-3-mod.txt</t>
  </si>
  <si>
    <t xml:space="preserve">../../../../Instancias/instances_TNT/Data1-15-15-0.8-0.5-50-100-100-4-mod.txt</t>
  </si>
  <si>
    <t xml:space="preserve">../../../../Instancias/instances_TNT/Data1-15-15-0.8-0.5-50-100-100-5-mod.txt</t>
  </si>
  <si>
    <t xml:space="preserve">../../../../Instancias/instances_TNT/Data1-15-15-0.8-0.5-50-100-100-6-mod.txt</t>
  </si>
  <si>
    <t xml:space="preserve">../../../../Instancias/instances_TNT/Data1-15-15-0.8-0.5-50-100-100-7-mod.txt</t>
  </si>
  <si>
    <t xml:space="preserve">../../../../Instancias/instances_TNT/Data1-15-15-0.8-0.5-50-100-100-8-mod.txt</t>
  </si>
  <si>
    <t xml:space="preserve">../../../../Instancias/instances_TNT/Data1-15-15-0.8-0.5-50-100-100-9-mod.txt</t>
  </si>
  <si>
    <t xml:space="preserve">../../../../Instancias/instances_TNT/Data1-25-10-0.6-0.5-100-100-100-0-mod.txt</t>
  </si>
  <si>
    <t xml:space="preserve">../../../../Instancias/instances_TNT/Data1-25-10-0.6-0.5-100-100-100-1-mod.txt</t>
  </si>
  <si>
    <t xml:space="preserve">../../../../Instancias/instances_TNT/Data1-25-10-0.6-0.5-100-100-100-2-mod.txt</t>
  </si>
  <si>
    <t xml:space="preserve">../../../../Instancias/instances_TNT/Data1-25-10-0.6-0.5-100-100-100-3-mod.txt</t>
  </si>
  <si>
    <t xml:space="preserve">../../../../Instancias/instances_TNT/Data1-25-10-0.6-0.5-100-100-100-4-mod.txt</t>
  </si>
  <si>
    <t xml:space="preserve">../../../../Instancias/instances_TNT/Data1-25-10-0.6-0.5-100-100-100-5-mod.txt</t>
  </si>
  <si>
    <t xml:space="preserve">../../../../Instancias/instances_TNT/Data1-25-10-0.6-0.5-100-100-100-6-mod.txt</t>
  </si>
  <si>
    <t xml:space="preserve">../../../../Instancias/instances_TNT/Data1-25-10-0.6-0.5-100-100-100-7-mod.txt</t>
  </si>
  <si>
    <t xml:space="preserve">../../../../Instancias/instances_TNT/Data1-25-10-0.6-0.5-100-100-100-8-mod.txt</t>
  </si>
  <si>
    <t xml:space="preserve">../../../../Instancias/instances_TNT/Data1-25-10-0.6-0.5-100-100-100-9-mod.txt</t>
  </si>
  <si>
    <t xml:space="preserve">../../../../Instancias/instances_TNT/Data1-25-10-0.6-0.5-50-100-100-0-mod.txt</t>
  </si>
  <si>
    <t xml:space="preserve">../../../../Instancias/instances_TNT/Data1-25-10-0.6-0.5-50-100-100-1-mod.txt</t>
  </si>
  <si>
    <t xml:space="preserve">../../../../Instancias/instances_TNT/Data1-25-10-0.6-0.5-50-100-100-2-mod.txt</t>
  </si>
  <si>
    <t xml:space="preserve">../../../../Instancias/instances_TNT/Data1-25-10-0.6-0.5-50-100-100-3-mod.txt</t>
  </si>
  <si>
    <t xml:space="preserve">../../../../Instancias/instances_TNT/Data1-25-10-0.6-0.5-50-100-100-4-mod.txt</t>
  </si>
  <si>
    <t xml:space="preserve">../../../../Instancias/instances_TNT/Data1-25-10-0.6-0.5-50-100-100-5-mod.txt</t>
  </si>
  <si>
    <t xml:space="preserve">../../../../Instancias/instances_TNT/Data1-25-10-0.6-0.5-50-100-100-6-mod.txt</t>
  </si>
  <si>
    <t xml:space="preserve">../../../../Instancias/instances_TNT/Data1-25-10-0.6-0.5-50-100-100-7-mod.txt</t>
  </si>
  <si>
    <t xml:space="preserve">../../../../Instancias/instances_TNT/Data1-25-10-0.6-0.5-50-100-100-8-mod.txt</t>
  </si>
  <si>
    <t xml:space="preserve">../../../../Instancias/instances_TNT/Data1-25-10-0.6-0.5-50-100-100-9-mod.txt</t>
  </si>
  <si>
    <t xml:space="preserve">../../../../Instancias/instances_TNT/Data1-25-10-0.8-0.5-100-100-100-0-mod.txt</t>
  </si>
  <si>
    <t xml:space="preserve">../../../../Instancias/instances_TNT/Data1-25-10-0.8-0.5-100-100-100-1-mod.txt</t>
  </si>
  <si>
    <t xml:space="preserve">../../../../Instancias/instances_TNT/Data1-25-10-0.8-0.5-100-100-100-2-mod.txt</t>
  </si>
  <si>
    <t xml:space="preserve">../../../../Instancias/instances_TNT/Data1-25-10-0.8-0.5-100-100-100-3-mod.txt</t>
  </si>
  <si>
    <t xml:space="preserve">../../../../Instancias/instances_TNT/Data1-25-10-0.8-0.5-100-100-100-4-mod.txt</t>
  </si>
  <si>
    <t xml:space="preserve">../../../../Instancias/instances_TNT/Data1-25-10-0.8-0.5-100-100-100-5-mod.txt</t>
  </si>
  <si>
    <t xml:space="preserve">../../../../Instancias/instances_TNT/Data1-25-10-0.8-0.5-100-100-100-6-mod.txt</t>
  </si>
  <si>
    <t xml:space="preserve">../../../../Instancias/instances_TNT/Data1-25-10-0.8-0.5-100-100-100-7-mod.txt</t>
  </si>
  <si>
    <t xml:space="preserve">../../../../Instancias/instances_TNT/Data1-25-10-0.8-0.5-100-100-100-8-mod.txt</t>
  </si>
  <si>
    <t xml:space="preserve">../../../../Instancias/instances_TNT/Data1-25-10-0.8-0.5-100-100-100-9-mod.txt</t>
  </si>
  <si>
    <t xml:space="preserve">../../../../Instancias/instances_TNT/Data1-25-10-0.8-0.5-50-100-100-0-mod.txt</t>
  </si>
  <si>
    <t xml:space="preserve">../../../../Instancias/instances_TNT/Data1-25-10-0.8-0.5-50-100-100-1-mod.txt</t>
  </si>
  <si>
    <t xml:space="preserve">../../../../Instancias/instances_TNT/Data1-25-10-0.8-0.5-50-100-100-2-mod.txt</t>
  </si>
  <si>
    <t xml:space="preserve">../../../../Instancias/instances_TNT/Data1-25-10-0.8-0.5-50-100-100-3-mod.txt</t>
  </si>
  <si>
    <t xml:space="preserve">../../../../Instancias/instances_TNT/Data1-25-10-0.8-0.5-50-100-100-4-mod.txt</t>
  </si>
  <si>
    <t xml:space="preserve">../../../../Instancias/instances_TNT/Data1-25-10-0.8-0.5-50-100-100-5-mod.txt</t>
  </si>
  <si>
    <t xml:space="preserve">../../../../Instancias/instances_TNT/Data1-25-10-0.8-0.5-50-100-100-6-mod.txt</t>
  </si>
  <si>
    <t xml:space="preserve">../../../../Instancias/instances_TNT/Data1-25-10-0.8-0.5-50-100-100-7-mod.txt</t>
  </si>
  <si>
    <t xml:space="preserve">../../../../Instancias/instances_TNT/Data1-25-10-0.8-0.5-50-100-100-8-mod.txt</t>
  </si>
  <si>
    <t xml:space="preserve">../../../../Instancias/instances_TNT/Data1-25-10-0.8-0.5-50-100-100-9-mod.txt</t>
  </si>
  <si>
    <t xml:space="preserve">../../../../Instancias/instances_TNT/Data1-25-15-0.6-0.5-100-100-100-0-mod.txt</t>
  </si>
  <si>
    <t xml:space="preserve">../../../../Instancias/instances_TNT/Data1-25-15-0.6-0.5-100-100-100-1-mod.txt</t>
  </si>
  <si>
    <t xml:space="preserve">../../../../Instancias/instances_TNT/Data1-25-15-0.6-0.5-100-100-100-2-mod.txt</t>
  </si>
  <si>
    <t xml:space="preserve">../../../../Instancias/instances_TNT/Data1-25-15-0.6-0.5-100-100-100-3-mod.txt</t>
  </si>
  <si>
    <t xml:space="preserve">../../../../Instancias/instances_TNT/Data1-25-15-0.6-0.5-100-100-100-4-mod.txt</t>
  </si>
  <si>
    <t xml:space="preserve">../../../../Instancias/instances_TNT/Data1-25-15-0.6-0.5-100-100-100-5-mod.txt</t>
  </si>
  <si>
    <t xml:space="preserve">../../../../Instancias/instances_TNT/Data1-25-15-0.6-0.5-100-100-100-6-mod.txt</t>
  </si>
  <si>
    <t xml:space="preserve">../../../../Instancias/instances_TNT/Data1-25-15-0.6-0.5-100-100-100-7-mod.txt</t>
  </si>
  <si>
    <t xml:space="preserve">../../../../Instancias/instances_TNT/Data1-25-15-0.6-0.5-100-100-100-8-mod.txt</t>
  </si>
  <si>
    <t xml:space="preserve">../../../../Instancias/instances_TNT/Data1-25-15-0.6-0.5-100-100-100-9-mod.txt</t>
  </si>
  <si>
    <t xml:space="preserve">../../../../Instancias/instances_TNT/Data1-25-15-0.6-0.5-50-100-100-0-mod.txt</t>
  </si>
  <si>
    <t xml:space="preserve">../../../../Instancias/instances_TNT/Data1-25-15-0.6-0.5-50-100-100-1-mod.txt</t>
  </si>
  <si>
    <t xml:space="preserve">../../../../Instancias/instances_TNT/Data1-25-15-0.6-0.5-50-100-100-2-mod.txt</t>
  </si>
  <si>
    <t xml:space="preserve">../../../../Instancias/instances_TNT/Data1-25-15-0.6-0.5-50-100-100-3-mod.txt</t>
  </si>
  <si>
    <t xml:space="preserve">../../../../Instancias/instances_TNT/Data1-25-15-0.6-0.5-50-100-100-4-mod.txt</t>
  </si>
  <si>
    <t xml:space="preserve">../../../../Instancias/instances_TNT/Data1-25-15-0.6-0.5-50-100-100-5-mod.txt</t>
  </si>
  <si>
    <t xml:space="preserve">../../../../Instancias/instances_TNT/Data1-25-15-0.6-0.5-50-100-100-6-mod.txt</t>
  </si>
  <si>
    <t xml:space="preserve">../../../../Instancias/instances_TNT/Data1-25-15-0.6-0.5-50-100-100-7-mod.txt</t>
  </si>
  <si>
    <t xml:space="preserve">../../../../Instancias/instances_TNT/Data1-25-15-0.6-0.5-50-100-100-8-mod.txt</t>
  </si>
  <si>
    <t xml:space="preserve">../../../../Instancias/instances_TNT/Data1-25-15-0.6-0.5-50-100-100-9-mod.txt</t>
  </si>
  <si>
    <t xml:space="preserve">../../../../Instancias/instances_TNT/Data1-25-15-0.8-0.5-100-100-100-0-mod.txt</t>
  </si>
  <si>
    <t xml:space="preserve">../../../../Instancias/instances_TNT/Data1-25-15-0.8-0.5-100-100-100-1-mod.txt</t>
  </si>
  <si>
    <t xml:space="preserve">../../../../Instancias/instances_TNT/Data1-25-15-0.8-0.5-100-100-100-2-mod.txt</t>
  </si>
  <si>
    <t xml:space="preserve">../../../../Instancias/instances_TNT/Data1-25-15-0.8-0.5-100-100-100-3-mod.txt</t>
  </si>
  <si>
    <t xml:space="preserve">../../../../Instancias/instances_TNT/Data1-25-15-0.8-0.5-100-100-100-4-mod.txt</t>
  </si>
  <si>
    <t xml:space="preserve">../../../../Instancias/instances_TNT/Data1-25-15-0.8-0.5-100-100-100-5-mod.txt</t>
  </si>
  <si>
    <t xml:space="preserve">../../../../Instancias/instances_TNT/Data1-25-15-0.8-0.5-100-100-100-6-mod.txt</t>
  </si>
  <si>
    <t xml:space="preserve">../../../../Instancias/instances_TNT/Data1-25-15-0.8-0.5-100-100-100-7-mod.txt</t>
  </si>
  <si>
    <t xml:space="preserve">../../../../Instancias/instances_TNT/Data1-25-15-0.8-0.5-100-100-100-8-mod.txt</t>
  </si>
  <si>
    <t xml:space="preserve">../../../../Instancias/instances_TNT/Data1-25-15-0.8-0.5-100-100-100-9-mod.txt</t>
  </si>
  <si>
    <t xml:space="preserve">../../../../Instancias/instances_TNT/Data1-25-15-0.8-0.5-50-100-100-0-mod.txt</t>
  </si>
  <si>
    <t xml:space="preserve">../../../../Instancias/instances_TNT/Data1-25-15-0.8-0.5-50-100-100-1-mod.txt</t>
  </si>
  <si>
    <t xml:space="preserve">../../../../Instancias/instances_TNT/Data1-25-15-0.8-0.5-50-100-100-2-mod.txt</t>
  </si>
  <si>
    <t xml:space="preserve">../../../../Instancias/instances_TNT/Data1-25-15-0.8-0.5-50-100-100-3-mod.txt</t>
  </si>
  <si>
    <t xml:space="preserve">../../../../Instancias/instances_TNT/Data1-25-15-0.8-0.5-50-100-100-4-mod.txt</t>
  </si>
  <si>
    <t xml:space="preserve">../../../../Instancias/instances_TNT/Data1-25-15-0.8-0.5-50-100-100-5-mod.txt</t>
  </si>
  <si>
    <t xml:space="preserve">../../../../Instancias/instances_TNT/Data1-25-15-0.8-0.5-50-100-100-6-mod.txt</t>
  </si>
  <si>
    <t xml:space="preserve">../../../../Instancias/instances_TNT/Data1-25-15-0.8-0.5-50-100-100-7-mod.txt</t>
  </si>
  <si>
    <t xml:space="preserve">../../../../Instancias/instances_TNT/Data1-25-15-0.8-0.5-50-100-100-8-mod.txt</t>
  </si>
  <si>
    <t xml:space="preserve">../../../../Instancias/instances_TNT/Data1-25-15-0.8-0.5-50-100-100-9-mod.txt</t>
  </si>
  <si>
    <t xml:space="preserve">CPLEX</t>
  </si>
  <si>
    <t xml:space="preserve">Sem ajuste</t>
  </si>
  <si>
    <t xml:space="preserve">Ajuste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</si>
</sst>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0"/>
  </numFmts>
  <fonts count="8">
    <font>
      <sz val="11"/>
      <color rgb="FF00000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CE181E"/>
      <name val="Calibri"/>
      <family val="2"/>
      <charset val="1"/>
    </font>
    <font>
      <sz val="11"/>
      <color rgb="FFCE181E"/>
      <name val="DejaVu Sans"/>
      <family val="2"/>
      <charset val="1"/>
    </font>
    <font>
      <sz val="11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B321" headerRowCount="1" totalsRowCount="0" totalsRowShown="0">
  <autoFilter ref="A1:B321"/>
  <tableColumns count="2">
    <tableColumn id="1" name="Instance"/>
    <tableColumn id="2" name="OF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21"/>
  <sheetViews>
    <sheetView showFormulas="false" showGridLines="false" showRowColHeaders="true" showZeros="true" rightToLeft="false" tabSelected="false" showOutlineSymbols="true" defaultGridColor="true" view="normal" topLeftCell="A186" colorId="64" zoomScale="85" zoomScaleNormal="85" zoomScalePageLayoutView="100" workbookViewId="0">
      <selection pane="topLeft" activeCell="G209" activeCellId="0" sqref="G209"/>
    </sheetView>
  </sheetViews>
  <sheetFormatPr defaultRowHeight="13.8" zeroHeight="false" outlineLevelRow="0" outlineLevelCol="0"/>
  <cols>
    <col collapsed="false" customWidth="true" hidden="false" outlineLevel="0" max="1" min="1" style="0" width="28.9"/>
    <col collapsed="false" customWidth="true" hidden="false" outlineLevel="0" max="1025" min="2" style="0" width="6.8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0" t="n">
        <v>58027</v>
      </c>
    </row>
    <row r="3" customFormat="false" ht="13.8" hidden="false" customHeight="false" outlineLevel="0" collapsed="false">
      <c r="A3" s="1" t="s">
        <v>3</v>
      </c>
      <c r="B3" s="0" t="n">
        <v>47015</v>
      </c>
    </row>
    <row r="4" customFormat="false" ht="13.8" hidden="false" customHeight="false" outlineLevel="0" collapsed="false">
      <c r="A4" s="1" t="s">
        <v>4</v>
      </c>
      <c r="B4" s="0" t="n">
        <v>54830</v>
      </c>
    </row>
    <row r="5" customFormat="false" ht="13.8" hidden="false" customHeight="false" outlineLevel="0" collapsed="false">
      <c r="A5" s="1" t="s">
        <v>5</v>
      </c>
      <c r="B5" s="0" t="n">
        <v>44578</v>
      </c>
    </row>
    <row r="6" customFormat="false" ht="13.8" hidden="false" customHeight="false" outlineLevel="0" collapsed="false">
      <c r="A6" s="1" t="s">
        <v>6</v>
      </c>
      <c r="B6" s="0" t="n">
        <v>56345</v>
      </c>
    </row>
    <row r="7" customFormat="false" ht="13.8" hidden="false" customHeight="false" outlineLevel="0" collapsed="false">
      <c r="A7" s="1" t="s">
        <v>7</v>
      </c>
      <c r="B7" s="0" t="n">
        <v>44911</v>
      </c>
    </row>
    <row r="8" customFormat="false" ht="13.8" hidden="false" customHeight="false" outlineLevel="0" collapsed="false">
      <c r="A8" s="1" t="s">
        <v>8</v>
      </c>
      <c r="B8" s="0" t="n">
        <v>55525</v>
      </c>
    </row>
    <row r="9" customFormat="false" ht="13.8" hidden="false" customHeight="false" outlineLevel="0" collapsed="false">
      <c r="A9" s="1" t="s">
        <v>9</v>
      </c>
      <c r="B9" s="0" t="n">
        <v>44222</v>
      </c>
    </row>
    <row r="10" customFormat="false" ht="13.8" hidden="false" customHeight="false" outlineLevel="0" collapsed="false">
      <c r="A10" s="1" t="s">
        <v>10</v>
      </c>
      <c r="B10" s="0" t="n">
        <v>56655</v>
      </c>
    </row>
    <row r="11" customFormat="false" ht="13.8" hidden="false" customHeight="false" outlineLevel="0" collapsed="false">
      <c r="A11" s="1" t="s">
        <v>11</v>
      </c>
      <c r="B11" s="0" t="n">
        <v>46402</v>
      </c>
    </row>
    <row r="12" customFormat="false" ht="13.8" hidden="false" customHeight="false" outlineLevel="0" collapsed="false">
      <c r="A12" s="1" t="s">
        <v>12</v>
      </c>
      <c r="B12" s="0" t="n">
        <v>55289</v>
      </c>
    </row>
    <row r="13" customFormat="false" ht="13.8" hidden="false" customHeight="false" outlineLevel="0" collapsed="false">
      <c r="A13" s="1" t="s">
        <v>13</v>
      </c>
      <c r="B13" s="0" t="n">
        <v>44405</v>
      </c>
    </row>
    <row r="14" customFormat="false" ht="13.8" hidden="false" customHeight="false" outlineLevel="0" collapsed="false">
      <c r="A14" s="1" t="s">
        <v>14</v>
      </c>
      <c r="B14" s="0" t="n">
        <v>56756</v>
      </c>
    </row>
    <row r="15" customFormat="false" ht="13.8" hidden="false" customHeight="false" outlineLevel="0" collapsed="false">
      <c r="A15" s="1" t="s">
        <v>15</v>
      </c>
      <c r="B15" s="0" t="n">
        <v>44349</v>
      </c>
    </row>
    <row r="16" customFormat="false" ht="13.8" hidden="false" customHeight="false" outlineLevel="0" collapsed="false">
      <c r="A16" s="1" t="s">
        <v>16</v>
      </c>
      <c r="B16" s="0" t="n">
        <v>58763</v>
      </c>
    </row>
    <row r="17" customFormat="false" ht="13.8" hidden="false" customHeight="false" outlineLevel="0" collapsed="false">
      <c r="A17" s="1" t="s">
        <v>17</v>
      </c>
      <c r="B17" s="0" t="n">
        <v>47521</v>
      </c>
    </row>
    <row r="18" customFormat="false" ht="13.8" hidden="false" customHeight="false" outlineLevel="0" collapsed="false">
      <c r="A18" s="1" t="s">
        <v>18</v>
      </c>
      <c r="B18" s="0" t="n">
        <v>57941</v>
      </c>
    </row>
    <row r="19" customFormat="false" ht="13.8" hidden="false" customHeight="false" outlineLevel="0" collapsed="false">
      <c r="A19" s="1" t="s">
        <v>19</v>
      </c>
      <c r="B19" s="0" t="n">
        <v>45972</v>
      </c>
    </row>
    <row r="20" customFormat="false" ht="13.8" hidden="false" customHeight="false" outlineLevel="0" collapsed="false">
      <c r="A20" s="1" t="s">
        <v>20</v>
      </c>
      <c r="B20" s="0" t="n">
        <v>57550</v>
      </c>
    </row>
    <row r="21" customFormat="false" ht="13.8" hidden="false" customHeight="false" outlineLevel="0" collapsed="false">
      <c r="A21" s="1" t="s">
        <v>21</v>
      </c>
      <c r="B21" s="0" t="n">
        <v>45780</v>
      </c>
    </row>
    <row r="22" customFormat="false" ht="13.8" hidden="false" customHeight="false" outlineLevel="0" collapsed="false">
      <c r="A22" s="1" t="s">
        <v>22</v>
      </c>
      <c r="B22" s="0" t="n">
        <v>35163</v>
      </c>
    </row>
    <row r="23" customFormat="false" ht="13.8" hidden="false" customHeight="false" outlineLevel="0" collapsed="false">
      <c r="A23" s="1" t="s">
        <v>23</v>
      </c>
      <c r="B23" s="0" t="n">
        <v>28159</v>
      </c>
    </row>
    <row r="24" customFormat="false" ht="13.8" hidden="false" customHeight="false" outlineLevel="0" collapsed="false">
      <c r="A24" s="1" t="s">
        <v>24</v>
      </c>
      <c r="B24" s="0" t="n">
        <v>33972</v>
      </c>
    </row>
    <row r="25" customFormat="false" ht="13.8" hidden="false" customHeight="false" outlineLevel="0" collapsed="false">
      <c r="A25" s="1" t="s">
        <v>25</v>
      </c>
      <c r="B25" s="0" t="n">
        <v>28229</v>
      </c>
    </row>
    <row r="26" customFormat="false" ht="13.8" hidden="false" customHeight="false" outlineLevel="0" collapsed="false">
      <c r="A26" s="1" t="s">
        <v>26</v>
      </c>
      <c r="B26" s="0" t="n">
        <v>34542</v>
      </c>
    </row>
    <row r="27" customFormat="false" ht="13.8" hidden="false" customHeight="false" outlineLevel="0" collapsed="false">
      <c r="A27" s="1" t="s">
        <v>27</v>
      </c>
      <c r="B27" s="0" t="n">
        <v>29002</v>
      </c>
    </row>
    <row r="28" customFormat="false" ht="13.8" hidden="false" customHeight="false" outlineLevel="0" collapsed="false">
      <c r="A28" s="1" t="s">
        <v>28</v>
      </c>
      <c r="B28" s="0" t="n">
        <v>34128</v>
      </c>
    </row>
    <row r="29" customFormat="false" ht="13.8" hidden="false" customHeight="false" outlineLevel="0" collapsed="false">
      <c r="A29" s="1" t="s">
        <v>29</v>
      </c>
      <c r="B29" s="0" t="n">
        <v>27404</v>
      </c>
    </row>
    <row r="30" customFormat="false" ht="13.8" hidden="false" customHeight="false" outlineLevel="0" collapsed="false">
      <c r="A30" s="1" t="s">
        <v>30</v>
      </c>
      <c r="B30" s="0" t="n">
        <v>35265</v>
      </c>
    </row>
    <row r="31" customFormat="false" ht="13.8" hidden="false" customHeight="false" outlineLevel="0" collapsed="false">
      <c r="A31" s="1" t="s">
        <v>31</v>
      </c>
      <c r="B31" s="0" t="n">
        <v>28959</v>
      </c>
    </row>
    <row r="32" customFormat="false" ht="13.8" hidden="false" customHeight="false" outlineLevel="0" collapsed="false">
      <c r="A32" s="1" t="s">
        <v>32</v>
      </c>
      <c r="B32" s="0" t="n">
        <v>33893</v>
      </c>
    </row>
    <row r="33" customFormat="false" ht="13.8" hidden="false" customHeight="false" outlineLevel="0" collapsed="false">
      <c r="A33" s="1" t="s">
        <v>33</v>
      </c>
      <c r="B33" s="0" t="n">
        <v>26878</v>
      </c>
    </row>
    <row r="34" customFormat="false" ht="13.8" hidden="false" customHeight="false" outlineLevel="0" collapsed="false">
      <c r="A34" s="1" t="s">
        <v>34</v>
      </c>
      <c r="B34" s="0" t="n">
        <v>34958</v>
      </c>
    </row>
    <row r="35" customFormat="false" ht="13.8" hidden="false" customHeight="false" outlineLevel="0" collapsed="false">
      <c r="A35" s="1" t="s">
        <v>35</v>
      </c>
      <c r="B35" s="0" t="n">
        <v>26820</v>
      </c>
    </row>
    <row r="36" customFormat="false" ht="13.8" hidden="false" customHeight="false" outlineLevel="0" collapsed="false">
      <c r="A36" s="1" t="s">
        <v>36</v>
      </c>
      <c r="B36" s="0" t="n">
        <v>35922</v>
      </c>
    </row>
    <row r="37" customFormat="false" ht="13.8" hidden="false" customHeight="false" outlineLevel="0" collapsed="false">
      <c r="A37" s="1" t="s">
        <v>37</v>
      </c>
      <c r="B37" s="0" t="n">
        <v>29306</v>
      </c>
    </row>
    <row r="38" customFormat="false" ht="13.8" hidden="false" customHeight="false" outlineLevel="0" collapsed="false">
      <c r="A38" s="1" t="s">
        <v>38</v>
      </c>
      <c r="B38" s="0" t="n">
        <v>35358</v>
      </c>
    </row>
    <row r="39" customFormat="false" ht="13.8" hidden="false" customHeight="false" outlineLevel="0" collapsed="false">
      <c r="A39" s="1" t="s">
        <v>39</v>
      </c>
      <c r="B39" s="0" t="n">
        <v>28875</v>
      </c>
    </row>
    <row r="40" customFormat="false" ht="13.8" hidden="false" customHeight="false" outlineLevel="0" collapsed="false">
      <c r="A40" s="1" t="s">
        <v>40</v>
      </c>
      <c r="B40" s="0" t="n">
        <v>34787</v>
      </c>
    </row>
    <row r="41" customFormat="false" ht="13.8" hidden="false" customHeight="false" outlineLevel="0" collapsed="false">
      <c r="A41" s="1" t="s">
        <v>41</v>
      </c>
      <c r="B41" s="0" t="n">
        <v>28184</v>
      </c>
    </row>
    <row r="42" customFormat="false" ht="13.8" hidden="false" customHeight="false" outlineLevel="0" collapsed="false">
      <c r="A42" s="1" t="s">
        <v>42</v>
      </c>
      <c r="B42" s="0" t="n">
        <v>58952</v>
      </c>
    </row>
    <row r="43" customFormat="false" ht="13.8" hidden="false" customHeight="false" outlineLevel="0" collapsed="false">
      <c r="A43" s="1" t="s">
        <v>43</v>
      </c>
      <c r="B43" s="0" t="n">
        <v>46255</v>
      </c>
    </row>
    <row r="44" customFormat="false" ht="13.8" hidden="false" customHeight="false" outlineLevel="0" collapsed="false">
      <c r="A44" s="1" t="s">
        <v>44</v>
      </c>
      <c r="B44" s="0" t="n">
        <v>56259</v>
      </c>
    </row>
    <row r="45" customFormat="false" ht="13.8" hidden="false" customHeight="false" outlineLevel="0" collapsed="false">
      <c r="A45" s="1" t="s">
        <v>45</v>
      </c>
      <c r="B45" s="0" t="n">
        <v>42800</v>
      </c>
    </row>
    <row r="46" customFormat="false" ht="13.8" hidden="false" customHeight="false" outlineLevel="0" collapsed="false">
      <c r="A46" s="1" t="s">
        <v>46</v>
      </c>
      <c r="B46" s="0" t="n">
        <v>57273</v>
      </c>
    </row>
    <row r="47" customFormat="false" ht="13.8" hidden="false" customHeight="false" outlineLevel="0" collapsed="false">
      <c r="A47" s="1" t="s">
        <v>47</v>
      </c>
      <c r="B47" s="0" t="n">
        <v>45314</v>
      </c>
    </row>
    <row r="48" customFormat="false" ht="13.8" hidden="false" customHeight="false" outlineLevel="0" collapsed="false">
      <c r="A48" s="1" t="s">
        <v>48</v>
      </c>
      <c r="B48" s="0" t="n">
        <v>57135</v>
      </c>
    </row>
    <row r="49" customFormat="false" ht="13.8" hidden="false" customHeight="false" outlineLevel="0" collapsed="false">
      <c r="A49" s="1" t="s">
        <v>49</v>
      </c>
      <c r="B49" s="0" t="n">
        <v>45779</v>
      </c>
    </row>
    <row r="50" customFormat="false" ht="13.8" hidden="false" customHeight="false" outlineLevel="0" collapsed="false">
      <c r="A50" s="1" t="s">
        <v>50</v>
      </c>
      <c r="B50" s="0" t="n">
        <v>58011</v>
      </c>
    </row>
    <row r="51" customFormat="false" ht="13.8" hidden="false" customHeight="false" outlineLevel="0" collapsed="false">
      <c r="A51" s="1" t="s">
        <v>51</v>
      </c>
      <c r="B51" s="0" t="n">
        <v>48242</v>
      </c>
    </row>
    <row r="52" customFormat="false" ht="13.8" hidden="false" customHeight="false" outlineLevel="0" collapsed="false">
      <c r="A52" s="1" t="s">
        <v>52</v>
      </c>
      <c r="B52" s="0" t="n">
        <v>55968</v>
      </c>
    </row>
    <row r="53" customFormat="false" ht="13.8" hidden="false" customHeight="false" outlineLevel="0" collapsed="false">
      <c r="A53" s="1" t="s">
        <v>53</v>
      </c>
      <c r="B53" s="0" t="n">
        <v>44102</v>
      </c>
    </row>
    <row r="54" customFormat="false" ht="13.8" hidden="false" customHeight="false" outlineLevel="0" collapsed="false">
      <c r="A54" s="1" t="s">
        <v>54</v>
      </c>
      <c r="B54" s="0" t="n">
        <v>57830</v>
      </c>
    </row>
    <row r="55" customFormat="false" ht="13.8" hidden="false" customHeight="false" outlineLevel="0" collapsed="false">
      <c r="A55" s="1" t="s">
        <v>55</v>
      </c>
      <c r="B55" s="0" t="n">
        <v>46932</v>
      </c>
    </row>
    <row r="56" customFormat="false" ht="13.8" hidden="false" customHeight="false" outlineLevel="0" collapsed="false">
      <c r="A56" s="1" t="s">
        <v>56</v>
      </c>
      <c r="B56" s="0" t="n">
        <v>60508</v>
      </c>
    </row>
    <row r="57" customFormat="false" ht="13.8" hidden="false" customHeight="false" outlineLevel="0" collapsed="false">
      <c r="A57" s="1" t="s">
        <v>57</v>
      </c>
      <c r="B57" s="0" t="n">
        <v>46932</v>
      </c>
    </row>
    <row r="58" customFormat="false" ht="13.8" hidden="false" customHeight="false" outlineLevel="0" collapsed="false">
      <c r="A58" s="1" t="s">
        <v>58</v>
      </c>
      <c r="B58" s="0" t="n">
        <v>58949</v>
      </c>
    </row>
    <row r="59" customFormat="false" ht="13.8" hidden="false" customHeight="false" outlineLevel="0" collapsed="false">
      <c r="A59" s="1" t="s">
        <v>59</v>
      </c>
      <c r="B59" s="0" t="n">
        <v>47791</v>
      </c>
    </row>
    <row r="60" customFormat="false" ht="13.8" hidden="false" customHeight="false" outlineLevel="0" collapsed="false">
      <c r="A60" s="1" t="s">
        <v>60</v>
      </c>
      <c r="B60" s="0" t="n">
        <v>58829</v>
      </c>
    </row>
    <row r="61" customFormat="false" ht="13.8" hidden="false" customHeight="false" outlineLevel="0" collapsed="false">
      <c r="A61" s="1" t="s">
        <v>61</v>
      </c>
      <c r="B61" s="0" t="n">
        <v>46547</v>
      </c>
    </row>
    <row r="62" customFormat="false" ht="13.8" hidden="false" customHeight="false" outlineLevel="0" collapsed="false">
      <c r="A62" s="1" t="s">
        <v>62</v>
      </c>
      <c r="B62" s="0" t="n">
        <v>35266</v>
      </c>
    </row>
    <row r="63" customFormat="false" ht="13.8" hidden="false" customHeight="false" outlineLevel="0" collapsed="false">
      <c r="A63" s="1" t="s">
        <v>63</v>
      </c>
      <c r="B63" s="0" t="n">
        <v>28201</v>
      </c>
    </row>
    <row r="64" customFormat="false" ht="13.8" hidden="false" customHeight="false" outlineLevel="0" collapsed="false">
      <c r="A64" s="1" t="s">
        <v>64</v>
      </c>
      <c r="B64" s="0" t="n">
        <v>34001</v>
      </c>
    </row>
    <row r="65" customFormat="false" ht="13.8" hidden="false" customHeight="false" outlineLevel="0" collapsed="false">
      <c r="A65" s="1" t="s">
        <v>65</v>
      </c>
      <c r="B65" s="0" t="n">
        <v>26412</v>
      </c>
    </row>
    <row r="66" customFormat="false" ht="13.8" hidden="false" customHeight="false" outlineLevel="0" collapsed="false">
      <c r="A66" s="1" t="s">
        <v>66</v>
      </c>
      <c r="B66" s="0" t="n">
        <v>34634</v>
      </c>
    </row>
    <row r="67" customFormat="false" ht="13.8" hidden="false" customHeight="false" outlineLevel="0" collapsed="false">
      <c r="A67" s="1" t="s">
        <v>67</v>
      </c>
      <c r="B67" s="0" t="n">
        <v>27449</v>
      </c>
    </row>
    <row r="68" customFormat="false" ht="13.8" hidden="false" customHeight="false" outlineLevel="0" collapsed="false">
      <c r="A68" s="1" t="s">
        <v>68</v>
      </c>
      <c r="B68" s="0" t="n">
        <v>34254</v>
      </c>
    </row>
    <row r="69" customFormat="false" ht="13.8" hidden="false" customHeight="false" outlineLevel="0" collapsed="false">
      <c r="A69" s="1" t="s">
        <v>69</v>
      </c>
      <c r="B69" s="0" t="n">
        <v>28603</v>
      </c>
    </row>
    <row r="70" customFormat="false" ht="13.8" hidden="false" customHeight="false" outlineLevel="0" collapsed="false">
      <c r="A70" s="1" t="s">
        <v>70</v>
      </c>
      <c r="B70" s="0" t="n">
        <v>35411</v>
      </c>
    </row>
    <row r="71" customFormat="false" ht="13.8" hidden="false" customHeight="false" outlineLevel="0" collapsed="false">
      <c r="A71" s="1" t="s">
        <v>71</v>
      </c>
      <c r="B71" s="0" t="n">
        <v>28381</v>
      </c>
    </row>
    <row r="72" customFormat="false" ht="13.8" hidden="false" customHeight="false" outlineLevel="0" collapsed="false">
      <c r="A72" s="1" t="s">
        <v>72</v>
      </c>
      <c r="B72" s="0" t="n">
        <v>33976</v>
      </c>
    </row>
    <row r="73" customFormat="false" ht="13.8" hidden="false" customHeight="false" outlineLevel="0" collapsed="false">
      <c r="A73" s="1" t="s">
        <v>73</v>
      </c>
      <c r="B73" s="0" t="n">
        <v>27949</v>
      </c>
    </row>
    <row r="74" customFormat="false" ht="13.8" hidden="false" customHeight="false" outlineLevel="0" collapsed="false">
      <c r="A74" s="1" t="s">
        <v>74</v>
      </c>
      <c r="B74" s="0" t="n">
        <v>35079</v>
      </c>
    </row>
    <row r="75" customFormat="false" ht="13.8" hidden="false" customHeight="false" outlineLevel="0" collapsed="false">
      <c r="A75" s="1" t="s">
        <v>75</v>
      </c>
      <c r="B75" s="0" t="n">
        <v>27642</v>
      </c>
    </row>
    <row r="76" customFormat="false" ht="13.8" hidden="false" customHeight="false" outlineLevel="0" collapsed="false">
      <c r="A76" s="1" t="s">
        <v>76</v>
      </c>
      <c r="B76" s="0" t="n">
        <v>36184</v>
      </c>
    </row>
    <row r="77" customFormat="false" ht="13.8" hidden="false" customHeight="false" outlineLevel="0" collapsed="false">
      <c r="A77" s="1" t="s">
        <v>77</v>
      </c>
      <c r="B77" s="0" t="n">
        <v>28246</v>
      </c>
    </row>
    <row r="78" customFormat="false" ht="13.8" hidden="false" customHeight="false" outlineLevel="0" collapsed="false">
      <c r="A78" s="1" t="s">
        <v>78</v>
      </c>
      <c r="B78" s="0" t="n">
        <v>35449</v>
      </c>
    </row>
    <row r="79" customFormat="false" ht="13.8" hidden="false" customHeight="false" outlineLevel="0" collapsed="false">
      <c r="A79" s="1" t="s">
        <v>79</v>
      </c>
      <c r="B79" s="0" t="n">
        <v>28169</v>
      </c>
    </row>
    <row r="80" customFormat="false" ht="13.8" hidden="false" customHeight="false" outlineLevel="0" collapsed="false">
      <c r="A80" s="1" t="s">
        <v>80</v>
      </c>
      <c r="B80" s="0" t="n">
        <v>34836</v>
      </c>
    </row>
    <row r="81" customFormat="false" ht="13.8" hidden="false" customHeight="false" outlineLevel="0" collapsed="false">
      <c r="A81" s="1" t="s">
        <v>81</v>
      </c>
      <c r="B81" s="0" t="n">
        <v>28364</v>
      </c>
    </row>
    <row r="82" customFormat="false" ht="13.8" hidden="false" customHeight="false" outlineLevel="0" collapsed="false">
      <c r="A82" s="1" t="s">
        <v>82</v>
      </c>
      <c r="B82" s="0" t="n">
        <v>87032</v>
      </c>
    </row>
    <row r="83" customFormat="false" ht="13.8" hidden="false" customHeight="false" outlineLevel="0" collapsed="false">
      <c r="A83" s="1" t="s">
        <v>83</v>
      </c>
      <c r="B83" s="0" t="n">
        <v>68576</v>
      </c>
    </row>
    <row r="84" customFormat="false" ht="13.8" hidden="false" customHeight="false" outlineLevel="0" collapsed="false">
      <c r="A84" s="1" t="s">
        <v>84</v>
      </c>
      <c r="B84" s="0" t="n">
        <v>82840</v>
      </c>
    </row>
    <row r="85" customFormat="false" ht="13.8" hidden="false" customHeight="false" outlineLevel="0" collapsed="false">
      <c r="A85" s="1" t="s">
        <v>85</v>
      </c>
      <c r="B85" s="0" t="n">
        <v>66905</v>
      </c>
    </row>
    <row r="86" customFormat="false" ht="13.8" hidden="false" customHeight="false" outlineLevel="0" collapsed="false">
      <c r="A86" s="1" t="s">
        <v>86</v>
      </c>
      <c r="B86" s="0" t="n">
        <v>84129</v>
      </c>
    </row>
    <row r="87" customFormat="false" ht="13.8" hidden="false" customHeight="false" outlineLevel="0" collapsed="false">
      <c r="A87" s="1" t="s">
        <v>87</v>
      </c>
      <c r="B87" s="0" t="n">
        <v>71214</v>
      </c>
    </row>
    <row r="88" customFormat="false" ht="13.8" hidden="false" customHeight="false" outlineLevel="0" collapsed="false">
      <c r="A88" s="1" t="s">
        <v>88</v>
      </c>
      <c r="B88" s="0" t="n">
        <v>82871</v>
      </c>
    </row>
    <row r="89" customFormat="false" ht="13.8" hidden="false" customHeight="false" outlineLevel="0" collapsed="false">
      <c r="A89" s="1" t="s">
        <v>89</v>
      </c>
      <c r="B89" s="0" t="n">
        <v>65071</v>
      </c>
    </row>
    <row r="90" customFormat="false" ht="13.8" hidden="false" customHeight="false" outlineLevel="0" collapsed="false">
      <c r="A90" s="1" t="s">
        <v>90</v>
      </c>
      <c r="B90" s="0" t="n">
        <v>85450</v>
      </c>
    </row>
    <row r="91" customFormat="false" ht="13.8" hidden="false" customHeight="false" outlineLevel="0" collapsed="false">
      <c r="A91" s="1" t="s">
        <v>91</v>
      </c>
      <c r="B91" s="0" t="n">
        <v>70602</v>
      </c>
    </row>
    <row r="92" customFormat="false" ht="13.8" hidden="false" customHeight="false" outlineLevel="0" collapsed="false">
      <c r="A92" s="1" t="s">
        <v>92</v>
      </c>
      <c r="B92" s="0" t="n">
        <v>82948</v>
      </c>
    </row>
    <row r="93" customFormat="false" ht="13.8" hidden="false" customHeight="false" outlineLevel="0" collapsed="false">
      <c r="A93" s="1" t="s">
        <v>93</v>
      </c>
      <c r="B93" s="0" t="n">
        <v>69106</v>
      </c>
    </row>
    <row r="94" customFormat="false" ht="13.8" hidden="false" customHeight="false" outlineLevel="0" collapsed="false">
      <c r="A94" s="1" t="s">
        <v>94</v>
      </c>
      <c r="B94" s="0" t="n">
        <v>85438</v>
      </c>
    </row>
    <row r="95" customFormat="false" ht="13.8" hidden="false" customHeight="false" outlineLevel="0" collapsed="false">
      <c r="A95" s="1" t="s">
        <v>95</v>
      </c>
      <c r="B95" s="0" t="n">
        <v>67598</v>
      </c>
    </row>
    <row r="96" customFormat="false" ht="13.8" hidden="false" customHeight="false" outlineLevel="0" collapsed="false">
      <c r="A96" s="1" t="s">
        <v>96</v>
      </c>
      <c r="B96" s="0" t="n">
        <v>88133</v>
      </c>
    </row>
    <row r="97" customFormat="false" ht="13.8" hidden="false" customHeight="false" outlineLevel="0" collapsed="false">
      <c r="A97" s="1" t="s">
        <v>97</v>
      </c>
      <c r="B97" s="0" t="n">
        <v>71946</v>
      </c>
    </row>
    <row r="98" customFormat="false" ht="13.8" hidden="false" customHeight="false" outlineLevel="0" collapsed="false">
      <c r="A98" s="1" t="s">
        <v>98</v>
      </c>
      <c r="B98" s="0" t="n">
        <v>86883</v>
      </c>
    </row>
    <row r="99" customFormat="false" ht="13.8" hidden="false" customHeight="false" outlineLevel="0" collapsed="false">
      <c r="A99" s="1" t="s">
        <v>99</v>
      </c>
      <c r="B99" s="0" t="n">
        <v>67292</v>
      </c>
    </row>
    <row r="100" customFormat="false" ht="13.8" hidden="false" customHeight="false" outlineLevel="0" collapsed="false">
      <c r="A100" s="1" t="s">
        <v>100</v>
      </c>
      <c r="B100" s="0" t="n">
        <v>86040</v>
      </c>
    </row>
    <row r="101" customFormat="false" ht="13.8" hidden="false" customHeight="false" outlineLevel="0" collapsed="false">
      <c r="A101" s="1" t="s">
        <v>101</v>
      </c>
      <c r="B101" s="0" t="n">
        <v>72575</v>
      </c>
    </row>
    <row r="102" customFormat="false" ht="13.8" hidden="false" customHeight="false" outlineLevel="0" collapsed="false">
      <c r="A102" s="1" t="s">
        <v>102</v>
      </c>
      <c r="B102" s="0" t="n">
        <v>52879</v>
      </c>
    </row>
    <row r="103" customFormat="false" ht="13.8" hidden="false" customHeight="false" outlineLevel="0" collapsed="false">
      <c r="A103" s="1" t="s">
        <v>103</v>
      </c>
      <c r="B103" s="0" t="n">
        <v>45197</v>
      </c>
    </row>
    <row r="104" customFormat="false" ht="13.8" hidden="false" customHeight="false" outlineLevel="0" collapsed="false">
      <c r="A104" s="1" t="s">
        <v>104</v>
      </c>
      <c r="B104" s="0" t="n">
        <v>51091</v>
      </c>
    </row>
    <row r="105" customFormat="false" ht="13.8" hidden="false" customHeight="false" outlineLevel="0" collapsed="false">
      <c r="A105" s="1" t="s">
        <v>105</v>
      </c>
      <c r="B105" s="0" t="n">
        <v>40391</v>
      </c>
    </row>
    <row r="106" customFormat="false" ht="13.8" hidden="false" customHeight="false" outlineLevel="0" collapsed="false">
      <c r="A106" s="1" t="s">
        <v>106</v>
      </c>
      <c r="B106" s="0" t="n">
        <v>51582</v>
      </c>
    </row>
    <row r="107" customFormat="false" ht="13.8" hidden="false" customHeight="false" outlineLevel="0" collapsed="false">
      <c r="A107" s="1" t="s">
        <v>107</v>
      </c>
      <c r="B107" s="0" t="n">
        <v>41832</v>
      </c>
    </row>
    <row r="108" customFormat="false" ht="13.8" hidden="false" customHeight="false" outlineLevel="0" collapsed="false">
      <c r="A108" s="1" t="s">
        <v>108</v>
      </c>
      <c r="B108" s="0" t="n">
        <v>50946</v>
      </c>
    </row>
    <row r="109" customFormat="false" ht="13.8" hidden="false" customHeight="false" outlineLevel="0" collapsed="false">
      <c r="A109" s="1" t="s">
        <v>109</v>
      </c>
      <c r="B109" s="0" t="n">
        <v>41461</v>
      </c>
    </row>
    <row r="110" customFormat="false" ht="13.8" hidden="false" customHeight="false" outlineLevel="0" collapsed="false">
      <c r="A110" s="1" t="s">
        <v>110</v>
      </c>
      <c r="B110" s="0" t="n">
        <v>52960</v>
      </c>
    </row>
    <row r="111" customFormat="false" ht="13.8" hidden="false" customHeight="false" outlineLevel="0" collapsed="false">
      <c r="A111" s="1" t="s">
        <v>111</v>
      </c>
      <c r="B111" s="0" t="n">
        <v>42597</v>
      </c>
    </row>
    <row r="112" customFormat="false" ht="13.8" hidden="false" customHeight="false" outlineLevel="0" collapsed="false">
      <c r="A112" s="1" t="s">
        <v>112</v>
      </c>
      <c r="B112" s="0" t="n">
        <v>50731</v>
      </c>
    </row>
    <row r="113" customFormat="false" ht="13.8" hidden="false" customHeight="false" outlineLevel="0" collapsed="false">
      <c r="A113" s="1" t="s">
        <v>113</v>
      </c>
      <c r="B113" s="0" t="n">
        <v>40781</v>
      </c>
    </row>
    <row r="114" customFormat="false" ht="13.8" hidden="false" customHeight="false" outlineLevel="0" collapsed="false">
      <c r="A114" s="1" t="s">
        <v>114</v>
      </c>
      <c r="B114" s="0" t="n">
        <v>52444</v>
      </c>
    </row>
    <row r="115" customFormat="false" ht="13.8" hidden="false" customHeight="false" outlineLevel="0" collapsed="false">
      <c r="A115" s="1" t="s">
        <v>115</v>
      </c>
      <c r="B115" s="0" t="n">
        <v>42214</v>
      </c>
    </row>
    <row r="116" customFormat="false" ht="13.8" hidden="false" customHeight="false" outlineLevel="0" collapsed="false">
      <c r="A116" s="1" t="s">
        <v>116</v>
      </c>
      <c r="B116" s="0" t="n">
        <v>53940</v>
      </c>
    </row>
    <row r="117" customFormat="false" ht="13.8" hidden="false" customHeight="false" outlineLevel="0" collapsed="false">
      <c r="A117" s="1" t="s">
        <v>117</v>
      </c>
      <c r="B117" s="0" t="n">
        <v>42671</v>
      </c>
    </row>
    <row r="118" customFormat="false" ht="13.8" hidden="false" customHeight="false" outlineLevel="0" collapsed="false">
      <c r="A118" s="1" t="s">
        <v>118</v>
      </c>
      <c r="B118" s="0" t="n">
        <v>52969</v>
      </c>
    </row>
    <row r="119" customFormat="false" ht="13.8" hidden="false" customHeight="false" outlineLevel="0" collapsed="false">
      <c r="A119" s="1" t="s">
        <v>119</v>
      </c>
      <c r="B119" s="0" t="n">
        <v>42742</v>
      </c>
    </row>
    <row r="120" customFormat="false" ht="13.8" hidden="false" customHeight="false" outlineLevel="0" collapsed="false">
      <c r="A120" s="1" t="s">
        <v>120</v>
      </c>
      <c r="B120" s="0" t="n">
        <v>51976</v>
      </c>
    </row>
    <row r="121" customFormat="false" ht="13.8" hidden="false" customHeight="false" outlineLevel="0" collapsed="false">
      <c r="A121" s="1" t="s">
        <v>121</v>
      </c>
      <c r="B121" s="0" t="n">
        <v>42072</v>
      </c>
    </row>
    <row r="122" customFormat="false" ht="13.8" hidden="false" customHeight="false" outlineLevel="0" collapsed="false">
      <c r="A122" s="1" t="s">
        <v>122</v>
      </c>
      <c r="B122" s="0" t="n">
        <v>88274</v>
      </c>
    </row>
    <row r="123" customFormat="false" ht="13.8" hidden="false" customHeight="false" outlineLevel="0" collapsed="false">
      <c r="A123" s="1" t="s">
        <v>123</v>
      </c>
      <c r="B123" s="0" t="n">
        <v>67347</v>
      </c>
    </row>
    <row r="124" customFormat="false" ht="13.8" hidden="false" customHeight="false" outlineLevel="0" collapsed="false">
      <c r="A124" s="1" t="s">
        <v>124</v>
      </c>
      <c r="B124" s="0" t="n">
        <v>84549</v>
      </c>
    </row>
    <row r="125" customFormat="false" ht="13.8" hidden="false" customHeight="false" outlineLevel="0" collapsed="false">
      <c r="A125" s="1" t="s">
        <v>125</v>
      </c>
      <c r="B125" s="0" t="n">
        <v>66506</v>
      </c>
    </row>
    <row r="126" customFormat="false" ht="13.8" hidden="false" customHeight="false" outlineLevel="0" collapsed="false">
      <c r="A126" s="1" t="s">
        <v>126</v>
      </c>
      <c r="B126" s="0" t="n">
        <v>85447</v>
      </c>
    </row>
    <row r="127" customFormat="false" ht="13.8" hidden="false" customHeight="false" outlineLevel="0" collapsed="false">
      <c r="A127" s="1" t="s">
        <v>127</v>
      </c>
      <c r="B127" s="0" t="n">
        <v>67149</v>
      </c>
    </row>
    <row r="128" customFormat="false" ht="13.8" hidden="false" customHeight="false" outlineLevel="0" collapsed="false">
      <c r="A128" s="1" t="s">
        <v>128</v>
      </c>
      <c r="B128" s="0" t="n">
        <v>84834</v>
      </c>
    </row>
    <row r="129" customFormat="false" ht="13.8" hidden="false" customHeight="false" outlineLevel="0" collapsed="false">
      <c r="A129" s="1" t="s">
        <v>129</v>
      </c>
      <c r="B129" s="0" t="n">
        <v>66904</v>
      </c>
    </row>
    <row r="130" customFormat="false" ht="13.8" hidden="false" customHeight="false" outlineLevel="0" collapsed="false">
      <c r="A130" s="1" t="s">
        <v>130</v>
      </c>
      <c r="B130" s="0" t="n">
        <v>86739</v>
      </c>
    </row>
    <row r="131" customFormat="false" ht="13.8" hidden="false" customHeight="false" outlineLevel="0" collapsed="false">
      <c r="A131" s="1" t="s">
        <v>131</v>
      </c>
      <c r="B131" s="0" t="n">
        <v>69090</v>
      </c>
    </row>
    <row r="132" customFormat="false" ht="13.8" hidden="false" customHeight="false" outlineLevel="0" collapsed="false">
      <c r="A132" s="1" t="s">
        <v>132</v>
      </c>
      <c r="B132" s="0" t="n">
        <v>83729</v>
      </c>
    </row>
    <row r="133" customFormat="false" ht="13.8" hidden="false" customHeight="false" outlineLevel="0" collapsed="false">
      <c r="A133" s="1" t="s">
        <v>133</v>
      </c>
      <c r="B133" s="0" t="n">
        <v>66535</v>
      </c>
    </row>
    <row r="134" customFormat="false" ht="13.8" hidden="false" customHeight="false" outlineLevel="0" collapsed="false">
      <c r="A134" s="1" t="s">
        <v>134</v>
      </c>
      <c r="B134" s="0" t="n">
        <v>86494</v>
      </c>
    </row>
    <row r="135" customFormat="false" ht="13.8" hidden="false" customHeight="false" outlineLevel="0" collapsed="false">
      <c r="A135" s="1" t="s">
        <v>135</v>
      </c>
      <c r="B135" s="0" t="n">
        <v>71662</v>
      </c>
    </row>
    <row r="136" customFormat="false" ht="13.8" hidden="false" customHeight="false" outlineLevel="0" collapsed="false">
      <c r="A136" s="1" t="s">
        <v>136</v>
      </c>
      <c r="B136" s="0" t="n">
        <v>90089</v>
      </c>
    </row>
    <row r="137" customFormat="false" ht="13.8" hidden="false" customHeight="false" outlineLevel="0" collapsed="false">
      <c r="A137" s="1" t="s">
        <v>137</v>
      </c>
      <c r="B137" s="0" t="n">
        <v>71645</v>
      </c>
    </row>
    <row r="138" customFormat="false" ht="13.8" hidden="false" customHeight="false" outlineLevel="0" collapsed="false">
      <c r="A138" s="1" t="s">
        <v>138</v>
      </c>
      <c r="B138" s="0" t="n">
        <v>88089</v>
      </c>
    </row>
    <row r="139" customFormat="false" ht="13.8" hidden="false" customHeight="false" outlineLevel="0" collapsed="false">
      <c r="A139" s="1" t="s">
        <v>139</v>
      </c>
      <c r="B139" s="0" t="n">
        <v>70800</v>
      </c>
    </row>
    <row r="140" customFormat="false" ht="13.8" hidden="false" customHeight="false" outlineLevel="0" collapsed="false">
      <c r="A140" s="1" t="s">
        <v>140</v>
      </c>
      <c r="B140" s="0" t="n">
        <v>87151</v>
      </c>
    </row>
    <row r="141" customFormat="false" ht="13.8" hidden="false" customHeight="false" outlineLevel="0" collapsed="false">
      <c r="A141" s="1" t="s">
        <v>141</v>
      </c>
      <c r="B141" s="0" t="n">
        <v>71786</v>
      </c>
    </row>
    <row r="142" customFormat="false" ht="13.8" hidden="false" customHeight="false" outlineLevel="0" collapsed="false">
      <c r="A142" s="1" t="s">
        <v>142</v>
      </c>
      <c r="B142" s="0" t="n">
        <v>53040</v>
      </c>
    </row>
    <row r="143" customFormat="false" ht="13.8" hidden="false" customHeight="false" outlineLevel="0" collapsed="false">
      <c r="A143" s="1" t="s">
        <v>143</v>
      </c>
      <c r="B143" s="0" t="n">
        <v>42420</v>
      </c>
    </row>
    <row r="144" customFormat="false" ht="13.8" hidden="false" customHeight="false" outlineLevel="0" collapsed="false">
      <c r="A144" s="1" t="s">
        <v>144</v>
      </c>
      <c r="B144" s="0" t="n">
        <v>51112</v>
      </c>
    </row>
    <row r="145" customFormat="false" ht="13.8" hidden="false" customHeight="false" outlineLevel="0" collapsed="false">
      <c r="A145" s="1" t="s">
        <v>145</v>
      </c>
      <c r="B145" s="0" t="n">
        <v>41483</v>
      </c>
    </row>
    <row r="146" customFormat="false" ht="13.8" hidden="false" customHeight="false" outlineLevel="0" collapsed="false">
      <c r="A146" s="1" t="s">
        <v>146</v>
      </c>
      <c r="B146" s="0" t="n">
        <v>51667</v>
      </c>
    </row>
    <row r="147" customFormat="false" ht="13.8" hidden="false" customHeight="false" outlineLevel="0" collapsed="false">
      <c r="A147" s="1" t="s">
        <v>147</v>
      </c>
      <c r="B147" s="0" t="n">
        <v>41608</v>
      </c>
    </row>
    <row r="148" customFormat="false" ht="13.8" hidden="false" customHeight="false" outlineLevel="0" collapsed="false">
      <c r="A148" s="1" t="s">
        <v>148</v>
      </c>
      <c r="B148" s="0" t="n">
        <v>51090</v>
      </c>
    </row>
    <row r="149" customFormat="false" ht="13.8" hidden="false" customHeight="false" outlineLevel="0" collapsed="false">
      <c r="A149" s="1" t="s">
        <v>149</v>
      </c>
      <c r="B149" s="0" t="n">
        <v>40851</v>
      </c>
    </row>
    <row r="150" customFormat="false" ht="13.8" hidden="false" customHeight="false" outlineLevel="0" collapsed="false">
      <c r="A150" s="1" t="s">
        <v>150</v>
      </c>
      <c r="B150" s="0" t="n">
        <v>53057</v>
      </c>
    </row>
    <row r="151" customFormat="false" ht="13.8" hidden="false" customHeight="false" outlineLevel="0" collapsed="false">
      <c r="A151" s="1" t="s">
        <v>151</v>
      </c>
      <c r="B151" s="0" t="n">
        <v>41798</v>
      </c>
    </row>
    <row r="152" customFormat="false" ht="13.8" hidden="false" customHeight="false" outlineLevel="0" collapsed="false">
      <c r="A152" s="1" t="s">
        <v>152</v>
      </c>
      <c r="B152" s="0" t="n">
        <v>50986</v>
      </c>
    </row>
    <row r="153" customFormat="false" ht="13.8" hidden="false" customHeight="false" outlineLevel="0" collapsed="false">
      <c r="A153" s="1" t="s">
        <v>153</v>
      </c>
      <c r="B153" s="0" t="n">
        <v>41385</v>
      </c>
    </row>
    <row r="154" customFormat="false" ht="13.8" hidden="false" customHeight="false" outlineLevel="0" collapsed="false">
      <c r="A154" s="1" t="s">
        <v>154</v>
      </c>
      <c r="B154" s="0" t="n">
        <v>52578</v>
      </c>
    </row>
    <row r="155" customFormat="false" ht="13.8" hidden="false" customHeight="false" outlineLevel="0" collapsed="false">
      <c r="A155" s="1" t="s">
        <v>155</v>
      </c>
      <c r="B155" s="0" t="n">
        <v>41508</v>
      </c>
    </row>
    <row r="156" customFormat="false" ht="13.8" hidden="false" customHeight="false" outlineLevel="0" collapsed="false">
      <c r="A156" s="1" t="s">
        <v>156</v>
      </c>
      <c r="B156" s="0" t="n">
        <v>54197</v>
      </c>
    </row>
    <row r="157" customFormat="false" ht="13.8" hidden="false" customHeight="false" outlineLevel="0" collapsed="false">
      <c r="A157" s="1" t="s">
        <v>157</v>
      </c>
      <c r="B157" s="0" t="n">
        <v>43211</v>
      </c>
    </row>
    <row r="158" customFormat="false" ht="13.8" hidden="false" customHeight="false" outlineLevel="0" collapsed="false">
      <c r="A158" s="1" t="s">
        <v>158</v>
      </c>
      <c r="B158" s="0" t="n">
        <v>53040</v>
      </c>
    </row>
    <row r="159" customFormat="false" ht="13.8" hidden="false" customHeight="false" outlineLevel="0" collapsed="false">
      <c r="A159" s="1" t="s">
        <v>159</v>
      </c>
      <c r="B159" s="0" t="n">
        <v>42410</v>
      </c>
    </row>
    <row r="160" customFormat="false" ht="13.8" hidden="false" customHeight="false" outlineLevel="0" collapsed="false">
      <c r="A160" s="1" t="s">
        <v>160</v>
      </c>
      <c r="B160" s="0" t="n">
        <v>51992</v>
      </c>
    </row>
    <row r="161" customFormat="false" ht="13.8" hidden="false" customHeight="false" outlineLevel="0" collapsed="false">
      <c r="A161" s="1" t="s">
        <v>161</v>
      </c>
      <c r="B161" s="0" t="n">
        <v>41870</v>
      </c>
    </row>
    <row r="162" customFormat="false" ht="13.8" hidden="false" customHeight="false" outlineLevel="0" collapsed="false">
      <c r="A162" s="1" t="s">
        <v>162</v>
      </c>
      <c r="B162" s="0" t="n">
        <v>90962</v>
      </c>
    </row>
    <row r="163" customFormat="false" ht="13.8" hidden="false" customHeight="false" outlineLevel="0" collapsed="false">
      <c r="A163" s="1" t="s">
        <v>163</v>
      </c>
      <c r="B163" s="0" t="n">
        <v>73817</v>
      </c>
    </row>
    <row r="164" customFormat="false" ht="13.8" hidden="false" customHeight="false" outlineLevel="0" collapsed="false">
      <c r="A164" s="1" t="s">
        <v>164</v>
      </c>
      <c r="B164" s="0" t="n">
        <v>93265</v>
      </c>
    </row>
    <row r="165" customFormat="false" ht="13.8" hidden="false" customHeight="false" outlineLevel="0" collapsed="false">
      <c r="A165" s="1" t="s">
        <v>165</v>
      </c>
      <c r="B165" s="0" t="n">
        <v>76902</v>
      </c>
    </row>
    <row r="166" customFormat="false" ht="13.8" hidden="false" customHeight="false" outlineLevel="0" collapsed="false">
      <c r="A166" s="1" t="s">
        <v>166</v>
      </c>
      <c r="B166" s="0" t="n">
        <v>98948</v>
      </c>
    </row>
    <row r="167" customFormat="false" ht="13.8" hidden="false" customHeight="false" outlineLevel="0" collapsed="false">
      <c r="A167" s="1" t="s">
        <v>167</v>
      </c>
      <c r="B167" s="0" t="n">
        <v>81037</v>
      </c>
    </row>
    <row r="168" customFormat="false" ht="13.8" hidden="false" customHeight="false" outlineLevel="0" collapsed="false">
      <c r="A168" s="1" t="s">
        <v>168</v>
      </c>
      <c r="B168" s="0" t="n">
        <v>97693</v>
      </c>
    </row>
    <row r="169" customFormat="false" ht="13.8" hidden="false" customHeight="false" outlineLevel="0" collapsed="false">
      <c r="A169" s="1" t="s">
        <v>169</v>
      </c>
      <c r="B169" s="0" t="n">
        <v>80622</v>
      </c>
    </row>
    <row r="170" customFormat="false" ht="13.8" hidden="false" customHeight="false" outlineLevel="0" collapsed="false">
      <c r="A170" s="1" t="s">
        <v>170</v>
      </c>
      <c r="B170" s="0" t="n">
        <v>88346</v>
      </c>
    </row>
    <row r="171" customFormat="false" ht="13.8" hidden="false" customHeight="false" outlineLevel="0" collapsed="false">
      <c r="A171" s="1" t="s">
        <v>171</v>
      </c>
      <c r="B171" s="0" t="n">
        <v>74699</v>
      </c>
    </row>
    <row r="172" customFormat="false" ht="13.8" hidden="false" customHeight="false" outlineLevel="0" collapsed="false">
      <c r="A172" s="1" t="s">
        <v>172</v>
      </c>
      <c r="B172" s="0" t="n">
        <v>100434</v>
      </c>
    </row>
    <row r="173" customFormat="false" ht="13.8" hidden="false" customHeight="false" outlineLevel="0" collapsed="false">
      <c r="A173" s="1" t="s">
        <v>173</v>
      </c>
      <c r="B173" s="0" t="n">
        <v>82302</v>
      </c>
    </row>
    <row r="174" customFormat="false" ht="13.8" hidden="false" customHeight="false" outlineLevel="0" collapsed="false">
      <c r="A174" s="1" t="s">
        <v>174</v>
      </c>
      <c r="B174" s="0" t="n">
        <v>101204</v>
      </c>
    </row>
    <row r="175" customFormat="false" ht="13.8" hidden="false" customHeight="false" outlineLevel="0" collapsed="false">
      <c r="A175" s="1" t="s">
        <v>175</v>
      </c>
      <c r="B175" s="0" t="n">
        <v>84219</v>
      </c>
    </row>
    <row r="176" customFormat="false" ht="13.8" hidden="false" customHeight="false" outlineLevel="0" collapsed="false">
      <c r="A176" s="1" t="s">
        <v>176</v>
      </c>
      <c r="B176" s="0" t="n">
        <v>97733</v>
      </c>
    </row>
    <row r="177" customFormat="false" ht="13.8" hidden="false" customHeight="false" outlineLevel="0" collapsed="false">
      <c r="A177" s="1" t="s">
        <v>177</v>
      </c>
      <c r="B177" s="0" t="n">
        <v>80992</v>
      </c>
    </row>
    <row r="178" customFormat="false" ht="13.8" hidden="false" customHeight="false" outlineLevel="0" collapsed="false">
      <c r="A178" s="1" t="s">
        <v>178</v>
      </c>
      <c r="B178" s="0" t="n">
        <v>95384</v>
      </c>
    </row>
    <row r="179" customFormat="false" ht="13.8" hidden="false" customHeight="false" outlineLevel="0" collapsed="false">
      <c r="A179" s="1" t="s">
        <v>179</v>
      </c>
      <c r="B179" s="0" t="n">
        <v>78191</v>
      </c>
    </row>
    <row r="180" customFormat="false" ht="13.8" hidden="false" customHeight="false" outlineLevel="0" collapsed="false">
      <c r="A180" s="1" t="s">
        <v>180</v>
      </c>
      <c r="B180" s="0" t="n">
        <v>99613</v>
      </c>
    </row>
    <row r="181" customFormat="false" ht="13.8" hidden="false" customHeight="false" outlineLevel="0" collapsed="false">
      <c r="A181" s="1" t="s">
        <v>181</v>
      </c>
      <c r="B181" s="0" t="n">
        <v>81575</v>
      </c>
    </row>
    <row r="182" customFormat="false" ht="13.8" hidden="false" customHeight="false" outlineLevel="0" collapsed="false">
      <c r="A182" s="1" t="s">
        <v>182</v>
      </c>
      <c r="B182" s="0" t="n">
        <v>56451</v>
      </c>
    </row>
    <row r="183" customFormat="false" ht="13.8" hidden="false" customHeight="false" outlineLevel="0" collapsed="false">
      <c r="A183" s="1" t="s">
        <v>183</v>
      </c>
      <c r="B183" s="0" t="n">
        <v>46311</v>
      </c>
    </row>
    <row r="184" customFormat="false" ht="13.8" hidden="false" customHeight="false" outlineLevel="0" collapsed="false">
      <c r="A184" s="1" t="s">
        <v>184</v>
      </c>
      <c r="B184" s="0" t="n">
        <v>57529</v>
      </c>
    </row>
    <row r="185" customFormat="false" ht="13.8" hidden="false" customHeight="false" outlineLevel="0" collapsed="false">
      <c r="A185" s="1" t="s">
        <v>185</v>
      </c>
      <c r="B185" s="0" t="n">
        <v>47101</v>
      </c>
    </row>
    <row r="186" customFormat="false" ht="13.8" hidden="false" customHeight="false" outlineLevel="0" collapsed="false">
      <c r="A186" s="1" t="s">
        <v>186</v>
      </c>
      <c r="B186" s="0" t="n">
        <v>60149</v>
      </c>
    </row>
    <row r="187" customFormat="false" ht="13.8" hidden="false" customHeight="false" outlineLevel="0" collapsed="false">
      <c r="A187" s="1" t="s">
        <v>187</v>
      </c>
      <c r="B187" s="0" t="n">
        <v>49349</v>
      </c>
    </row>
    <row r="188" customFormat="false" ht="13.8" hidden="false" customHeight="false" outlineLevel="0" collapsed="false">
      <c r="A188" s="1" t="s">
        <v>188</v>
      </c>
      <c r="B188" s="0" t="n">
        <v>59008</v>
      </c>
    </row>
    <row r="189" customFormat="false" ht="13.8" hidden="false" customHeight="false" outlineLevel="0" collapsed="false">
      <c r="A189" s="1" t="s">
        <v>189</v>
      </c>
      <c r="B189" s="0" t="n">
        <v>49551</v>
      </c>
    </row>
    <row r="190" customFormat="false" ht="13.8" hidden="false" customHeight="false" outlineLevel="0" collapsed="false">
      <c r="A190" s="1" t="s">
        <v>190</v>
      </c>
      <c r="B190" s="0" t="n">
        <v>54315</v>
      </c>
    </row>
    <row r="191" customFormat="false" ht="13.8" hidden="false" customHeight="false" outlineLevel="0" collapsed="false">
      <c r="A191" s="1" t="s">
        <v>191</v>
      </c>
      <c r="B191" s="0" t="n">
        <v>45681</v>
      </c>
    </row>
    <row r="192" customFormat="false" ht="13.8" hidden="false" customHeight="false" outlineLevel="0" collapsed="false">
      <c r="A192" s="1" t="s">
        <v>192</v>
      </c>
      <c r="B192" s="0" t="n">
        <v>60034</v>
      </c>
    </row>
    <row r="193" customFormat="false" ht="13.8" hidden="false" customHeight="false" outlineLevel="0" collapsed="false">
      <c r="A193" s="1" t="s">
        <v>193</v>
      </c>
      <c r="B193" s="0" t="n">
        <v>49905</v>
      </c>
    </row>
    <row r="194" customFormat="false" ht="13.8" hidden="false" customHeight="false" outlineLevel="0" collapsed="false">
      <c r="A194" s="1" t="s">
        <v>194</v>
      </c>
      <c r="B194" s="0" t="n">
        <v>60682</v>
      </c>
    </row>
    <row r="195" customFormat="false" ht="13.8" hidden="false" customHeight="false" outlineLevel="0" collapsed="false">
      <c r="A195" s="1" t="s">
        <v>195</v>
      </c>
      <c r="B195" s="0" t="n">
        <v>50561</v>
      </c>
    </row>
    <row r="196" customFormat="false" ht="13.8" hidden="false" customHeight="false" outlineLevel="0" collapsed="false">
      <c r="A196" s="1" t="s">
        <v>196</v>
      </c>
      <c r="B196" s="0" t="n">
        <v>59508</v>
      </c>
    </row>
    <row r="197" customFormat="false" ht="13.8" hidden="false" customHeight="false" outlineLevel="0" collapsed="false">
      <c r="A197" s="1" t="s">
        <v>197</v>
      </c>
      <c r="B197" s="0" t="n">
        <v>49402</v>
      </c>
    </row>
    <row r="198" customFormat="false" ht="13.8" hidden="false" customHeight="false" outlineLevel="0" collapsed="false">
      <c r="A198" s="1" t="s">
        <v>198</v>
      </c>
      <c r="B198" s="0" t="n">
        <v>58418</v>
      </c>
    </row>
    <row r="199" customFormat="false" ht="13.8" hidden="false" customHeight="false" outlineLevel="0" collapsed="false">
      <c r="A199" s="1" t="s">
        <v>199</v>
      </c>
      <c r="B199" s="0" t="n">
        <v>48848</v>
      </c>
    </row>
    <row r="200" customFormat="false" ht="13.8" hidden="false" customHeight="false" outlineLevel="0" collapsed="false">
      <c r="A200" s="1" t="s">
        <v>200</v>
      </c>
      <c r="B200" s="0" t="n">
        <v>59355</v>
      </c>
    </row>
    <row r="201" customFormat="false" ht="13.8" hidden="false" customHeight="false" outlineLevel="0" collapsed="false">
      <c r="A201" s="1" t="s">
        <v>201</v>
      </c>
      <c r="B201" s="0" t="n">
        <v>49615</v>
      </c>
    </row>
    <row r="202" customFormat="false" ht="13.8" hidden="false" customHeight="false" outlineLevel="0" collapsed="false">
      <c r="A202" s="1" t="s">
        <v>202</v>
      </c>
      <c r="B202" s="0" t="n">
        <v>94078</v>
      </c>
    </row>
    <row r="203" customFormat="false" ht="13.8" hidden="false" customHeight="false" outlineLevel="0" collapsed="false">
      <c r="A203" s="1" t="s">
        <v>203</v>
      </c>
      <c r="B203" s="0" t="n">
        <v>74952</v>
      </c>
    </row>
    <row r="204" customFormat="false" ht="13.8" hidden="false" customHeight="false" outlineLevel="0" collapsed="false">
      <c r="A204" s="1" t="s">
        <v>204</v>
      </c>
      <c r="B204" s="0" t="n">
        <v>95436</v>
      </c>
    </row>
    <row r="205" customFormat="false" ht="13.8" hidden="false" customHeight="false" outlineLevel="0" collapsed="false">
      <c r="A205" s="1" t="s">
        <v>205</v>
      </c>
      <c r="B205" s="0" t="n">
        <v>76898</v>
      </c>
    </row>
    <row r="206" customFormat="false" ht="13.8" hidden="false" customHeight="false" outlineLevel="0" collapsed="false">
      <c r="A206" s="1" t="s">
        <v>206</v>
      </c>
      <c r="B206" s="0" t="n">
        <v>100796</v>
      </c>
    </row>
    <row r="207" customFormat="false" ht="13.8" hidden="false" customHeight="false" outlineLevel="0" collapsed="false">
      <c r="A207" s="1" t="s">
        <v>207</v>
      </c>
      <c r="B207" s="0" t="n">
        <v>82849</v>
      </c>
    </row>
    <row r="208" customFormat="false" ht="13.8" hidden="false" customHeight="false" outlineLevel="0" collapsed="false">
      <c r="A208" s="1" t="s">
        <v>208</v>
      </c>
      <c r="B208" s="0" t="n">
        <v>100769</v>
      </c>
    </row>
    <row r="209" customFormat="false" ht="13.8" hidden="false" customHeight="false" outlineLevel="0" collapsed="false">
      <c r="A209" s="1" t="s">
        <v>209</v>
      </c>
      <c r="B209" s="0" t="n">
        <v>83247</v>
      </c>
    </row>
    <row r="210" customFormat="false" ht="13.8" hidden="false" customHeight="false" outlineLevel="0" collapsed="false">
      <c r="A210" s="1" t="s">
        <v>210</v>
      </c>
      <c r="B210" s="0" t="n">
        <v>90354</v>
      </c>
    </row>
    <row r="211" customFormat="false" ht="13.8" hidden="false" customHeight="false" outlineLevel="0" collapsed="false">
      <c r="A211" s="1" t="s">
        <v>211</v>
      </c>
      <c r="B211" s="0" t="n">
        <v>74756</v>
      </c>
    </row>
    <row r="212" customFormat="false" ht="13.8" hidden="false" customHeight="false" outlineLevel="0" collapsed="false">
      <c r="A212" s="1" t="s">
        <v>212</v>
      </c>
      <c r="B212" s="0" t="n">
        <v>102356</v>
      </c>
    </row>
    <row r="213" customFormat="false" ht="13.8" hidden="false" customHeight="false" outlineLevel="0" collapsed="false">
      <c r="A213" s="1" t="s">
        <v>213</v>
      </c>
      <c r="B213" s="0" t="n">
        <v>83188</v>
      </c>
    </row>
    <row r="214" customFormat="false" ht="13.8" hidden="false" customHeight="false" outlineLevel="0" collapsed="false">
      <c r="A214" s="1" t="s">
        <v>214</v>
      </c>
      <c r="B214" s="0" t="n">
        <v>102291</v>
      </c>
    </row>
    <row r="215" customFormat="false" ht="13.8" hidden="false" customHeight="false" outlineLevel="0" collapsed="false">
      <c r="A215" s="1" t="s">
        <v>215</v>
      </c>
      <c r="B215" s="0" t="n">
        <v>83960</v>
      </c>
    </row>
    <row r="216" customFormat="false" ht="13.8" hidden="false" customHeight="false" outlineLevel="0" collapsed="false">
      <c r="A216" s="1" t="s">
        <v>216</v>
      </c>
      <c r="B216" s="0" t="n">
        <v>98903</v>
      </c>
    </row>
    <row r="217" customFormat="false" ht="13.8" hidden="false" customHeight="false" outlineLevel="0" collapsed="false">
      <c r="A217" s="1" t="s">
        <v>217</v>
      </c>
      <c r="B217" s="0" t="n">
        <v>81361</v>
      </c>
    </row>
    <row r="218" customFormat="false" ht="13.8" hidden="false" customHeight="false" outlineLevel="0" collapsed="false">
      <c r="A218" s="1" t="s">
        <v>218</v>
      </c>
      <c r="B218" s="0" t="n">
        <v>98162</v>
      </c>
    </row>
    <row r="219" customFormat="false" ht="13.8" hidden="false" customHeight="false" outlineLevel="0" collapsed="false">
      <c r="A219" s="1" t="s">
        <v>219</v>
      </c>
      <c r="B219" s="0" t="n">
        <v>81041</v>
      </c>
    </row>
    <row r="220" customFormat="false" ht="13.8" hidden="false" customHeight="false" outlineLevel="0" collapsed="false">
      <c r="A220" s="1" t="s">
        <v>220</v>
      </c>
      <c r="B220" s="0" t="n">
        <v>101554</v>
      </c>
    </row>
    <row r="221" customFormat="false" ht="13.8" hidden="false" customHeight="false" outlineLevel="0" collapsed="false">
      <c r="A221" s="1" t="s">
        <v>221</v>
      </c>
      <c r="B221" s="0" t="n">
        <v>83316</v>
      </c>
    </row>
    <row r="222" customFormat="false" ht="13.8" hidden="false" customHeight="false" outlineLevel="0" collapsed="false">
      <c r="A222" s="1" t="s">
        <v>222</v>
      </c>
      <c r="B222" s="0" t="n">
        <v>56625</v>
      </c>
    </row>
    <row r="223" customFormat="false" ht="13.8" hidden="false" customHeight="false" outlineLevel="0" collapsed="false">
      <c r="A223" s="1" t="s">
        <v>223</v>
      </c>
      <c r="B223" s="0" t="n">
        <v>47673</v>
      </c>
    </row>
    <row r="224" customFormat="false" ht="13.8" hidden="false" customHeight="false" outlineLevel="0" collapsed="false">
      <c r="A224" s="1" t="s">
        <v>224</v>
      </c>
      <c r="B224" s="0" t="n">
        <v>57558</v>
      </c>
    </row>
    <row r="225" customFormat="false" ht="13.8" hidden="false" customHeight="false" outlineLevel="0" collapsed="false">
      <c r="A225" s="1" t="s">
        <v>225</v>
      </c>
      <c r="B225" s="0" t="n">
        <v>48511</v>
      </c>
    </row>
    <row r="226" customFormat="false" ht="13.8" hidden="false" customHeight="false" outlineLevel="0" collapsed="false">
      <c r="A226" s="1" t="s">
        <v>226</v>
      </c>
      <c r="B226" s="0" t="n">
        <v>60175</v>
      </c>
    </row>
    <row r="227" customFormat="false" ht="13.8" hidden="false" customHeight="false" outlineLevel="0" collapsed="false">
      <c r="A227" s="1" t="s">
        <v>227</v>
      </c>
      <c r="B227" s="0" t="n">
        <v>50184</v>
      </c>
    </row>
    <row r="228" customFormat="false" ht="13.8" hidden="false" customHeight="false" outlineLevel="0" collapsed="false">
      <c r="A228" s="1" t="s">
        <v>228</v>
      </c>
      <c r="B228" s="0" t="n">
        <v>59170</v>
      </c>
    </row>
    <row r="229" customFormat="false" ht="13.8" hidden="false" customHeight="false" outlineLevel="0" collapsed="false">
      <c r="A229" s="1" t="s">
        <v>229</v>
      </c>
      <c r="B229" s="0" t="n">
        <v>49375</v>
      </c>
    </row>
    <row r="230" customFormat="false" ht="13.8" hidden="false" customHeight="false" outlineLevel="0" collapsed="false">
      <c r="A230" s="1" t="s">
        <v>230</v>
      </c>
      <c r="B230" s="0" t="n">
        <v>54362</v>
      </c>
    </row>
    <row r="231" customFormat="false" ht="13.8" hidden="false" customHeight="false" outlineLevel="0" collapsed="false">
      <c r="A231" s="1" t="s">
        <v>231</v>
      </c>
      <c r="B231" s="0" t="n">
        <v>44843</v>
      </c>
    </row>
    <row r="232" customFormat="false" ht="13.8" hidden="false" customHeight="false" outlineLevel="0" collapsed="false">
      <c r="A232" s="1" t="s">
        <v>232</v>
      </c>
      <c r="B232" s="0" t="n">
        <v>60229</v>
      </c>
    </row>
    <row r="233" customFormat="false" ht="13.8" hidden="false" customHeight="false" outlineLevel="0" collapsed="false">
      <c r="A233" s="1" t="s">
        <v>233</v>
      </c>
      <c r="B233" s="0" t="n">
        <v>50398</v>
      </c>
    </row>
    <row r="234" customFormat="false" ht="13.8" hidden="false" customHeight="false" outlineLevel="0" collapsed="false">
      <c r="A234" s="1" t="s">
        <v>234</v>
      </c>
      <c r="B234" s="0" t="n">
        <v>60699</v>
      </c>
    </row>
    <row r="235" customFormat="false" ht="13.8" hidden="false" customHeight="false" outlineLevel="0" collapsed="false">
      <c r="A235" s="1" t="s">
        <v>235</v>
      </c>
      <c r="B235" s="0" t="n">
        <v>49829</v>
      </c>
    </row>
    <row r="236" customFormat="false" ht="13.8" hidden="false" customHeight="false" outlineLevel="0" collapsed="false">
      <c r="A236" s="1" t="s">
        <v>236</v>
      </c>
      <c r="B236" s="0" t="n">
        <v>59660</v>
      </c>
    </row>
    <row r="237" customFormat="false" ht="13.8" hidden="false" customHeight="false" outlineLevel="0" collapsed="false">
      <c r="A237" s="1" t="s">
        <v>237</v>
      </c>
      <c r="B237" s="0" t="n">
        <v>50162</v>
      </c>
    </row>
    <row r="238" customFormat="false" ht="13.8" hidden="false" customHeight="false" outlineLevel="0" collapsed="false">
      <c r="A238" s="1" t="s">
        <v>238</v>
      </c>
      <c r="B238" s="0" t="n">
        <v>58521</v>
      </c>
    </row>
    <row r="239" customFormat="false" ht="13.8" hidden="false" customHeight="false" outlineLevel="0" collapsed="false">
      <c r="A239" s="1" t="s">
        <v>239</v>
      </c>
      <c r="B239" s="0" t="n">
        <v>48807</v>
      </c>
    </row>
    <row r="240" customFormat="false" ht="13.8" hidden="false" customHeight="false" outlineLevel="0" collapsed="false">
      <c r="A240" s="1" t="s">
        <v>240</v>
      </c>
      <c r="B240" s="0" t="n">
        <v>59460</v>
      </c>
    </row>
    <row r="241" customFormat="false" ht="13.8" hidden="false" customHeight="false" outlineLevel="0" collapsed="false">
      <c r="A241" s="1" t="s">
        <v>241</v>
      </c>
      <c r="B241" s="0" t="n">
        <v>49416</v>
      </c>
    </row>
    <row r="242" customFormat="false" ht="13.8" hidden="false" customHeight="false" outlineLevel="0" collapsed="false">
      <c r="A242" s="1" t="s">
        <v>242</v>
      </c>
      <c r="B242" s="0" t="n">
        <v>136667</v>
      </c>
    </row>
    <row r="243" customFormat="false" ht="13.8" hidden="false" customHeight="false" outlineLevel="0" collapsed="false">
      <c r="A243" s="1" t="s">
        <v>243</v>
      </c>
      <c r="B243" s="0" t="n">
        <v>112065</v>
      </c>
    </row>
    <row r="244" customFormat="false" ht="13.8" hidden="false" customHeight="false" outlineLevel="0" collapsed="false">
      <c r="A244" s="1" t="s">
        <v>244</v>
      </c>
      <c r="B244" s="0" t="n">
        <v>140564</v>
      </c>
    </row>
    <row r="245" customFormat="false" ht="13.8" hidden="false" customHeight="false" outlineLevel="0" collapsed="false">
      <c r="A245" s="1" t="s">
        <v>245</v>
      </c>
      <c r="B245" s="0" t="n">
        <v>114603</v>
      </c>
    </row>
    <row r="246" customFormat="false" ht="13.8" hidden="false" customHeight="false" outlineLevel="0" collapsed="false">
      <c r="A246" s="1" t="s">
        <v>246</v>
      </c>
      <c r="B246" s="0" t="n">
        <v>149914</v>
      </c>
    </row>
    <row r="247" customFormat="false" ht="13.8" hidden="false" customHeight="false" outlineLevel="0" collapsed="false">
      <c r="A247" s="1" t="s">
        <v>247</v>
      </c>
      <c r="B247" s="0" t="n">
        <v>123287</v>
      </c>
    </row>
    <row r="248" customFormat="false" ht="13.8" hidden="false" customHeight="false" outlineLevel="0" collapsed="false">
      <c r="A248" s="1" t="s">
        <v>248</v>
      </c>
      <c r="B248" s="0" t="n">
        <v>145709</v>
      </c>
    </row>
    <row r="249" customFormat="false" ht="13.8" hidden="false" customHeight="false" outlineLevel="0" collapsed="false">
      <c r="A249" s="1" t="s">
        <v>249</v>
      </c>
      <c r="B249" s="0" t="n">
        <v>121401</v>
      </c>
    </row>
    <row r="250" customFormat="false" ht="13.8" hidden="false" customHeight="false" outlineLevel="0" collapsed="false">
      <c r="A250" s="1" t="s">
        <v>250</v>
      </c>
      <c r="B250" s="0" t="n">
        <v>132330</v>
      </c>
    </row>
    <row r="251" customFormat="false" ht="13.8" hidden="false" customHeight="false" outlineLevel="0" collapsed="false">
      <c r="A251" s="1" t="s">
        <v>251</v>
      </c>
      <c r="B251" s="0" t="n">
        <v>110011</v>
      </c>
    </row>
    <row r="252" customFormat="false" ht="13.8" hidden="false" customHeight="false" outlineLevel="0" collapsed="false">
      <c r="A252" s="1" t="s">
        <v>252</v>
      </c>
      <c r="B252" s="0" t="n">
        <v>150214</v>
      </c>
    </row>
    <row r="253" customFormat="false" ht="13.8" hidden="false" customHeight="false" outlineLevel="0" collapsed="false">
      <c r="A253" s="1" t="s">
        <v>253</v>
      </c>
      <c r="B253" s="0" t="n">
        <v>124104</v>
      </c>
    </row>
    <row r="254" customFormat="false" ht="13.8" hidden="false" customHeight="false" outlineLevel="0" collapsed="false">
      <c r="A254" s="1" t="s">
        <v>254</v>
      </c>
      <c r="B254" s="0" t="n">
        <v>151273</v>
      </c>
    </row>
    <row r="255" customFormat="false" ht="13.8" hidden="false" customHeight="false" outlineLevel="0" collapsed="false">
      <c r="A255" s="1" t="s">
        <v>255</v>
      </c>
      <c r="B255" s="0" t="n">
        <v>123780</v>
      </c>
    </row>
    <row r="256" customFormat="false" ht="13.8" hidden="false" customHeight="false" outlineLevel="0" collapsed="false">
      <c r="A256" s="1" t="s">
        <v>256</v>
      </c>
      <c r="B256" s="0" t="n">
        <v>147344</v>
      </c>
    </row>
    <row r="257" customFormat="false" ht="13.8" hidden="false" customHeight="false" outlineLevel="0" collapsed="false">
      <c r="A257" s="1" t="s">
        <v>257</v>
      </c>
      <c r="B257" s="0" t="n">
        <v>119877</v>
      </c>
    </row>
    <row r="258" customFormat="false" ht="13.8" hidden="false" customHeight="false" outlineLevel="0" collapsed="false">
      <c r="A258" s="1" t="s">
        <v>258</v>
      </c>
      <c r="B258" s="0" t="n">
        <v>143647</v>
      </c>
    </row>
    <row r="259" customFormat="false" ht="13.8" hidden="false" customHeight="false" outlineLevel="0" collapsed="false">
      <c r="A259" s="1" t="s">
        <v>259</v>
      </c>
      <c r="B259" s="0" t="n">
        <v>117374</v>
      </c>
    </row>
    <row r="260" customFormat="false" ht="13.8" hidden="false" customHeight="false" outlineLevel="0" collapsed="false">
      <c r="A260" s="1" t="s">
        <v>260</v>
      </c>
      <c r="B260" s="0" t="n">
        <v>149563</v>
      </c>
    </row>
    <row r="261" customFormat="false" ht="13.8" hidden="false" customHeight="false" outlineLevel="0" collapsed="false">
      <c r="A261" s="1" t="s">
        <v>261</v>
      </c>
      <c r="B261" s="0" t="n">
        <v>124660</v>
      </c>
    </row>
    <row r="262" customFormat="false" ht="13.8" hidden="false" customHeight="false" outlineLevel="0" collapsed="false">
      <c r="A262" s="1" t="s">
        <v>262</v>
      </c>
      <c r="B262" s="0" t="n">
        <v>84584</v>
      </c>
    </row>
    <row r="263" customFormat="false" ht="13.8" hidden="false" customHeight="false" outlineLevel="0" collapsed="false">
      <c r="A263" s="1" t="s">
        <v>263</v>
      </c>
      <c r="B263" s="0" t="n">
        <v>70834</v>
      </c>
    </row>
    <row r="264" customFormat="false" ht="13.8" hidden="false" customHeight="false" outlineLevel="0" collapsed="false">
      <c r="A264" s="1" t="s">
        <v>264</v>
      </c>
      <c r="B264" s="0" t="n">
        <v>86191</v>
      </c>
    </row>
    <row r="265" customFormat="false" ht="13.8" hidden="false" customHeight="false" outlineLevel="0" collapsed="false">
      <c r="A265" s="1" t="s">
        <v>265</v>
      </c>
      <c r="B265" s="0" t="n">
        <v>72767</v>
      </c>
    </row>
    <row r="266" customFormat="false" ht="13.8" hidden="false" customHeight="false" outlineLevel="0" collapsed="false">
      <c r="A266" s="1" t="s">
        <v>266</v>
      </c>
      <c r="B266" s="0" t="n">
        <v>90223</v>
      </c>
    </row>
    <row r="267" customFormat="false" ht="13.8" hidden="false" customHeight="false" outlineLevel="0" collapsed="false">
      <c r="A267" s="1" t="s">
        <v>267</v>
      </c>
      <c r="B267" s="0" t="n">
        <v>74768</v>
      </c>
    </row>
    <row r="268" customFormat="false" ht="13.8" hidden="false" customHeight="false" outlineLevel="0" collapsed="false">
      <c r="A268" s="1" t="s">
        <v>268</v>
      </c>
      <c r="B268" s="0" t="n">
        <v>88426</v>
      </c>
    </row>
    <row r="269" customFormat="false" ht="13.8" hidden="false" customHeight="false" outlineLevel="0" collapsed="false">
      <c r="A269" s="1" t="s">
        <v>269</v>
      </c>
      <c r="B269" s="0" t="n">
        <v>72659</v>
      </c>
    </row>
    <row r="270" customFormat="false" ht="13.8" hidden="false" customHeight="false" outlineLevel="0" collapsed="false">
      <c r="A270" s="1" t="s">
        <v>270</v>
      </c>
      <c r="B270" s="0" t="n">
        <v>81339</v>
      </c>
    </row>
    <row r="271" customFormat="false" ht="13.8" hidden="false" customHeight="false" outlineLevel="0" collapsed="false">
      <c r="A271" s="1" t="s">
        <v>271</v>
      </c>
      <c r="B271" s="0" t="n">
        <v>67522</v>
      </c>
    </row>
    <row r="272" customFormat="false" ht="13.8" hidden="false" customHeight="false" outlineLevel="0" collapsed="false">
      <c r="A272" s="1" t="s">
        <v>272</v>
      </c>
      <c r="B272" s="0" t="n">
        <v>90006</v>
      </c>
    </row>
    <row r="273" customFormat="false" ht="13.8" hidden="false" customHeight="false" outlineLevel="0" collapsed="false">
      <c r="A273" s="1" t="s">
        <v>273</v>
      </c>
      <c r="B273" s="0" t="n">
        <v>74262</v>
      </c>
    </row>
    <row r="274" customFormat="false" ht="13.8" hidden="false" customHeight="false" outlineLevel="0" collapsed="false">
      <c r="A274" s="1" t="s">
        <v>274</v>
      </c>
      <c r="B274" s="0" t="n">
        <v>90755</v>
      </c>
    </row>
    <row r="275" customFormat="false" ht="13.8" hidden="false" customHeight="false" outlineLevel="0" collapsed="false">
      <c r="A275" s="1" t="s">
        <v>275</v>
      </c>
      <c r="B275" s="0" t="n">
        <v>76004</v>
      </c>
    </row>
    <row r="276" customFormat="false" ht="13.8" hidden="false" customHeight="false" outlineLevel="0" collapsed="false">
      <c r="A276" s="1" t="s">
        <v>276</v>
      </c>
      <c r="B276" s="0" t="n">
        <v>89380</v>
      </c>
    </row>
    <row r="277" customFormat="false" ht="13.8" hidden="false" customHeight="false" outlineLevel="0" collapsed="false">
      <c r="A277" s="1" t="s">
        <v>277</v>
      </c>
      <c r="B277" s="0" t="n">
        <v>74409</v>
      </c>
    </row>
    <row r="278" customFormat="false" ht="13.8" hidden="false" customHeight="false" outlineLevel="0" collapsed="false">
      <c r="A278" s="1" t="s">
        <v>278</v>
      </c>
      <c r="B278" s="0" t="n">
        <v>87379</v>
      </c>
    </row>
    <row r="279" customFormat="false" ht="13.8" hidden="false" customHeight="false" outlineLevel="0" collapsed="false">
      <c r="A279" s="1" t="s">
        <v>279</v>
      </c>
      <c r="B279" s="0" t="n">
        <v>73702</v>
      </c>
    </row>
    <row r="280" customFormat="false" ht="13.8" hidden="false" customHeight="false" outlineLevel="0" collapsed="false">
      <c r="A280" s="1" t="s">
        <v>280</v>
      </c>
      <c r="B280" s="0" t="n">
        <v>89041</v>
      </c>
    </row>
    <row r="281" customFormat="false" ht="13.8" hidden="false" customHeight="false" outlineLevel="0" collapsed="false">
      <c r="A281" s="1" t="s">
        <v>281</v>
      </c>
      <c r="B281" s="0" t="n">
        <v>73488</v>
      </c>
    </row>
    <row r="282" customFormat="false" ht="13.8" hidden="false" customHeight="false" outlineLevel="0" collapsed="false">
      <c r="A282" s="1" t="s">
        <v>282</v>
      </c>
      <c r="B282" s="0" t="n">
        <v>140589</v>
      </c>
    </row>
    <row r="283" customFormat="false" ht="13.8" hidden="false" customHeight="false" outlineLevel="0" collapsed="false">
      <c r="A283" s="1" t="s">
        <v>283</v>
      </c>
      <c r="B283" s="0" t="n">
        <v>112575</v>
      </c>
    </row>
    <row r="284" customFormat="false" ht="13.8" hidden="false" customHeight="false" outlineLevel="0" collapsed="false">
      <c r="A284" s="1" t="s">
        <v>284</v>
      </c>
      <c r="B284" s="0" t="n">
        <v>142866</v>
      </c>
    </row>
    <row r="285" customFormat="false" ht="13.8" hidden="false" customHeight="false" outlineLevel="0" collapsed="false">
      <c r="A285" s="1" t="s">
        <v>285</v>
      </c>
      <c r="B285" s="0" t="n">
        <v>116349</v>
      </c>
    </row>
    <row r="286" customFormat="false" ht="13.8" hidden="false" customHeight="false" outlineLevel="0" collapsed="false">
      <c r="A286" s="1" t="s">
        <v>286</v>
      </c>
      <c r="B286" s="0" t="n">
        <v>151608</v>
      </c>
    </row>
    <row r="287" customFormat="false" ht="13.8" hidden="false" customHeight="false" outlineLevel="0" collapsed="false">
      <c r="A287" s="1" t="s">
        <v>287</v>
      </c>
      <c r="B287" s="0" t="n">
        <v>125798</v>
      </c>
    </row>
    <row r="288" customFormat="false" ht="13.8" hidden="false" customHeight="false" outlineLevel="0" collapsed="false">
      <c r="A288" s="1" t="s">
        <v>288</v>
      </c>
      <c r="B288" s="0" t="n">
        <v>149771</v>
      </c>
    </row>
    <row r="289" customFormat="false" ht="13.8" hidden="false" customHeight="false" outlineLevel="0" collapsed="false">
      <c r="A289" s="1" t="s">
        <v>289</v>
      </c>
      <c r="B289" s="0" t="n">
        <v>122747</v>
      </c>
    </row>
    <row r="290" customFormat="false" ht="13.8" hidden="false" customHeight="false" outlineLevel="0" collapsed="false">
      <c r="A290" s="1" t="s">
        <v>290</v>
      </c>
      <c r="B290" s="0" t="n">
        <v>135025</v>
      </c>
    </row>
    <row r="291" customFormat="false" ht="13.8" hidden="false" customHeight="false" outlineLevel="0" collapsed="false">
      <c r="A291" s="1" t="s">
        <v>291</v>
      </c>
      <c r="B291" s="0" t="n">
        <v>109677</v>
      </c>
    </row>
    <row r="292" customFormat="false" ht="13.8" hidden="false" customHeight="false" outlineLevel="0" collapsed="false">
      <c r="A292" s="1" t="s">
        <v>292</v>
      </c>
      <c r="B292" s="0" t="n">
        <v>152227</v>
      </c>
    </row>
    <row r="293" customFormat="false" ht="13.8" hidden="false" customHeight="false" outlineLevel="0" collapsed="false">
      <c r="A293" s="1" t="s">
        <v>293</v>
      </c>
      <c r="B293" s="0" t="n">
        <v>126903</v>
      </c>
    </row>
    <row r="294" customFormat="false" ht="13.8" hidden="false" customHeight="false" outlineLevel="0" collapsed="false">
      <c r="A294" s="1" t="s">
        <v>294</v>
      </c>
      <c r="B294" s="0" t="n">
        <v>152409</v>
      </c>
    </row>
    <row r="295" customFormat="false" ht="13.8" hidden="false" customHeight="false" outlineLevel="0" collapsed="false">
      <c r="A295" s="1" t="s">
        <v>295</v>
      </c>
      <c r="B295" s="0" t="n">
        <v>125774</v>
      </c>
    </row>
    <row r="296" customFormat="false" ht="13.8" hidden="false" customHeight="false" outlineLevel="0" collapsed="false">
      <c r="A296" s="1" t="s">
        <v>296</v>
      </c>
      <c r="B296" s="0" t="n">
        <v>148608</v>
      </c>
    </row>
    <row r="297" customFormat="false" ht="13.8" hidden="false" customHeight="false" outlineLevel="0" collapsed="false">
      <c r="A297" s="1" t="s">
        <v>297</v>
      </c>
      <c r="B297" s="0" t="n">
        <v>121144</v>
      </c>
    </row>
    <row r="298" customFormat="false" ht="13.8" hidden="false" customHeight="false" outlineLevel="0" collapsed="false">
      <c r="A298" s="1" t="s">
        <v>298</v>
      </c>
      <c r="B298" s="0" t="n">
        <v>146180</v>
      </c>
    </row>
    <row r="299" customFormat="false" ht="13.8" hidden="false" customHeight="false" outlineLevel="0" collapsed="false">
      <c r="A299" s="1" t="s">
        <v>299</v>
      </c>
      <c r="B299" s="0" t="n">
        <v>118833</v>
      </c>
    </row>
    <row r="300" customFormat="false" ht="13.8" hidden="false" customHeight="false" outlineLevel="0" collapsed="false">
      <c r="A300" s="1" t="s">
        <v>300</v>
      </c>
      <c r="B300" s="0" t="n">
        <v>151877</v>
      </c>
    </row>
    <row r="301" customFormat="false" ht="13.8" hidden="false" customHeight="false" outlineLevel="0" collapsed="false">
      <c r="A301" s="1" t="s">
        <v>301</v>
      </c>
      <c r="B301" s="0" t="n">
        <v>124947</v>
      </c>
    </row>
    <row r="302" customFormat="false" ht="13.8" hidden="false" customHeight="false" outlineLevel="0" collapsed="false">
      <c r="A302" s="1" t="s">
        <v>302</v>
      </c>
      <c r="B302" s="0" t="n">
        <v>84726</v>
      </c>
    </row>
    <row r="303" customFormat="false" ht="13.8" hidden="false" customHeight="false" outlineLevel="0" collapsed="false">
      <c r="A303" s="1" t="s">
        <v>303</v>
      </c>
      <c r="B303" s="0" t="n">
        <v>71280</v>
      </c>
    </row>
    <row r="304" customFormat="false" ht="13.8" hidden="false" customHeight="false" outlineLevel="0" collapsed="false">
      <c r="A304" s="1" t="s">
        <v>304</v>
      </c>
      <c r="B304" s="0" t="n">
        <v>86353</v>
      </c>
    </row>
    <row r="305" customFormat="false" ht="13.8" hidden="false" customHeight="false" outlineLevel="0" collapsed="false">
      <c r="A305" s="1" t="s">
        <v>305</v>
      </c>
      <c r="B305" s="0" t="n">
        <v>70113</v>
      </c>
    </row>
    <row r="306" customFormat="false" ht="13.8" hidden="false" customHeight="false" outlineLevel="0" collapsed="false">
      <c r="A306" s="1" t="s">
        <v>306</v>
      </c>
      <c r="B306" s="0" t="n">
        <v>90236</v>
      </c>
    </row>
    <row r="307" customFormat="false" ht="13.8" hidden="false" customHeight="false" outlineLevel="0" collapsed="false">
      <c r="A307" s="1" t="s">
        <v>307</v>
      </c>
      <c r="B307" s="0" t="n">
        <v>75391</v>
      </c>
    </row>
    <row r="308" customFormat="false" ht="13.8" hidden="false" customHeight="false" outlineLevel="0" collapsed="false">
      <c r="A308" s="1" t="s">
        <v>308</v>
      </c>
      <c r="B308" s="0" t="n">
        <v>88487</v>
      </c>
    </row>
    <row r="309" customFormat="false" ht="13.8" hidden="false" customHeight="false" outlineLevel="0" collapsed="false">
      <c r="A309" s="1" t="s">
        <v>309</v>
      </c>
      <c r="B309" s="0" t="n">
        <v>73927</v>
      </c>
    </row>
    <row r="310" customFormat="false" ht="13.8" hidden="false" customHeight="false" outlineLevel="0" collapsed="false">
      <c r="A310" s="1" t="s">
        <v>310</v>
      </c>
      <c r="B310" s="0" t="n">
        <v>81384</v>
      </c>
    </row>
    <row r="311" customFormat="false" ht="13.8" hidden="false" customHeight="false" outlineLevel="0" collapsed="false">
      <c r="A311" s="1" t="s">
        <v>311</v>
      </c>
      <c r="B311" s="0" t="n">
        <v>67457</v>
      </c>
    </row>
    <row r="312" customFormat="false" ht="13.8" hidden="false" customHeight="false" outlineLevel="0" collapsed="false">
      <c r="A312" s="1" t="s">
        <v>312</v>
      </c>
      <c r="B312" s="0" t="n">
        <v>90033</v>
      </c>
    </row>
    <row r="313" customFormat="false" ht="13.8" hidden="false" customHeight="false" outlineLevel="0" collapsed="false">
      <c r="A313" s="1" t="s">
        <v>313</v>
      </c>
      <c r="B313" s="0" t="n">
        <v>74819</v>
      </c>
    </row>
    <row r="314" customFormat="false" ht="13.8" hidden="false" customHeight="false" outlineLevel="0" collapsed="false">
      <c r="A314" s="1" t="s">
        <v>314</v>
      </c>
      <c r="B314" s="0" t="n">
        <v>90784</v>
      </c>
    </row>
    <row r="315" customFormat="false" ht="13.8" hidden="false" customHeight="false" outlineLevel="0" collapsed="false">
      <c r="A315" s="1" t="s">
        <v>315</v>
      </c>
      <c r="B315" s="0" t="n">
        <v>75001</v>
      </c>
    </row>
    <row r="316" customFormat="false" ht="13.8" hidden="false" customHeight="false" outlineLevel="0" collapsed="false">
      <c r="A316" s="1" t="s">
        <v>316</v>
      </c>
      <c r="B316" s="0" t="n">
        <v>89489</v>
      </c>
    </row>
    <row r="317" customFormat="false" ht="13.8" hidden="false" customHeight="false" outlineLevel="0" collapsed="false">
      <c r="A317" s="1" t="s">
        <v>317</v>
      </c>
      <c r="B317" s="0" t="n">
        <v>74820</v>
      </c>
    </row>
    <row r="318" customFormat="false" ht="13.8" hidden="false" customHeight="false" outlineLevel="0" collapsed="false">
      <c r="A318" s="1" t="s">
        <v>318</v>
      </c>
      <c r="B318" s="0" t="n">
        <v>87533</v>
      </c>
    </row>
    <row r="319" customFormat="false" ht="13.8" hidden="false" customHeight="false" outlineLevel="0" collapsed="false">
      <c r="A319" s="1" t="s">
        <v>319</v>
      </c>
      <c r="B319" s="0" t="n">
        <v>72484</v>
      </c>
    </row>
    <row r="320" customFormat="false" ht="13.8" hidden="false" customHeight="false" outlineLevel="0" collapsed="false">
      <c r="A320" s="1" t="s">
        <v>320</v>
      </c>
      <c r="B320" s="0" t="n">
        <v>89116</v>
      </c>
    </row>
    <row r="321" customFormat="false" ht="13.8" hidden="false" customHeight="false" outlineLevel="0" collapsed="false">
      <c r="A321" s="1" t="s">
        <v>321</v>
      </c>
      <c r="B321" s="0" t="n">
        <v>73640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82"/>
  <sheetViews>
    <sheetView showFormulas="false" showGridLines="true" showRowColHeaders="true" showZeros="true" rightToLeft="false" tabSelected="true" showOutlineSymbols="true" defaultGridColor="true" view="normal" topLeftCell="A115" colorId="64" zoomScale="85" zoomScaleNormal="85" zoomScalePageLayoutView="100" workbookViewId="0">
      <selection pane="topLeft" activeCell="N152" activeCellId="0" sqref="N152"/>
    </sheetView>
  </sheetViews>
  <sheetFormatPr defaultRowHeight="13.8" zeroHeight="false" outlineLevelRow="0" outlineLevelCol="0"/>
  <cols>
    <col collapsed="false" customWidth="true" hidden="false" outlineLevel="0" max="1" min="1" style="2" width="30.02"/>
    <col collapsed="false" customWidth="true" hidden="false" outlineLevel="0" max="9" min="2" style="2" width="6.88"/>
    <col collapsed="false" customWidth="true" hidden="false" outlineLevel="0" max="10" min="10" style="2" width="10.89"/>
    <col collapsed="false" customWidth="true" hidden="false" outlineLevel="0" max="20" min="11" style="2" width="6.88"/>
    <col collapsed="false" customWidth="true" hidden="false" outlineLevel="0" max="21" min="21" style="2" width="7.26"/>
    <col collapsed="false" customWidth="true" hidden="false" outlineLevel="0" max="22" min="22" style="2" width="6.88"/>
    <col collapsed="false" customWidth="true" hidden="false" outlineLevel="0" max="23" min="23" style="2" width="9.11"/>
    <col collapsed="false" customWidth="true" hidden="false" outlineLevel="0" max="1025" min="24" style="2" width="6.88"/>
  </cols>
  <sheetData>
    <row r="1" customFormat="false" ht="13.8" hidden="false" customHeight="false" outlineLevel="0" collapsed="false">
      <c r="A1" s="3" t="s">
        <v>0</v>
      </c>
      <c r="B1" s="4" t="s">
        <v>322</v>
      </c>
      <c r="C1" s="4" t="s">
        <v>323</v>
      </c>
      <c r="E1" s="5" t="s">
        <v>324</v>
      </c>
      <c r="F1" s="5" t="s">
        <v>325</v>
      </c>
      <c r="G1" s="5" t="s">
        <v>326</v>
      </c>
      <c r="H1" s="5" t="s">
        <v>323</v>
      </c>
      <c r="I1" s="5"/>
      <c r="J1" s="5"/>
      <c r="K1" s="5"/>
      <c r="N1" s="2" t="s">
        <v>325</v>
      </c>
      <c r="O1" s="2" t="s">
        <v>327</v>
      </c>
      <c r="P1" s="2" t="s">
        <v>326</v>
      </c>
      <c r="Q1" s="2" t="s">
        <v>323</v>
      </c>
      <c r="Y1" s="5" t="s">
        <v>324</v>
      </c>
      <c r="Z1" s="5"/>
      <c r="AA1" s="5"/>
      <c r="AB1" s="5"/>
      <c r="AC1" s="5"/>
      <c r="AF1" s="5" t="s">
        <v>328</v>
      </c>
      <c r="AG1" s="5"/>
      <c r="AH1" s="5"/>
      <c r="AL1" s="5" t="s">
        <v>329</v>
      </c>
      <c r="AM1" s="5"/>
      <c r="AN1" s="5"/>
    </row>
    <row r="2" customFormat="false" ht="13.8" hidden="false" customHeight="false" outlineLevel="0" collapsed="false">
      <c r="A2" s="3" t="s">
        <v>3</v>
      </c>
      <c r="B2" s="2" t="n">
        <v>47015</v>
      </c>
      <c r="C2" s="2" t="n">
        <f aca="false">100*(B2-$O2)/$O2</f>
        <v>0.00894837058621271</v>
      </c>
      <c r="E2" s="3" t="s">
        <v>330</v>
      </c>
      <c r="F2" s="2" t="n">
        <v>47042</v>
      </c>
      <c r="G2" s="2" t="n">
        <v>117.2359</v>
      </c>
      <c r="H2" s="2" t="n">
        <f aca="false">100*(F2-$U2)/$U2</f>
        <v>0.0574284802722535</v>
      </c>
      <c r="I2" s="6"/>
      <c r="J2" s="6" t="n">
        <f aca="false">100*(F2-U2)/U2</f>
        <v>0.0574284802722535</v>
      </c>
      <c r="K2" s="6"/>
      <c r="M2" s="2" t="s">
        <v>330</v>
      </c>
      <c r="N2" s="2" t="n">
        <v>47015</v>
      </c>
      <c r="O2" s="2" t="n">
        <v>47010.7933</v>
      </c>
      <c r="P2" s="2" t="n">
        <v>76.774</v>
      </c>
      <c r="Q2" s="2" t="n">
        <f aca="false">100*(N2-O2)/O2</f>
        <v>0.00894837058621271</v>
      </c>
      <c r="S2" s="2" t="s">
        <v>330</v>
      </c>
      <c r="T2" s="2" t="n">
        <v>47015</v>
      </c>
      <c r="U2" s="2" t="n">
        <v>47015</v>
      </c>
      <c r="V2" s="2" t="n">
        <v>245.7965</v>
      </c>
      <c r="W2" s="2" t="n">
        <f aca="false">100*(T2-U2)/U2</f>
        <v>0</v>
      </c>
      <c r="Y2" s="2" t="s">
        <v>330</v>
      </c>
      <c r="Z2" s="2" t="n">
        <v>47042</v>
      </c>
      <c r="AA2" s="2" t="n">
        <v>56.2068</v>
      </c>
      <c r="AB2" s="2" t="n">
        <f aca="false">100*(Z2-O2)/O2</f>
        <v>0.066381989771703</v>
      </c>
      <c r="AD2" s="2" t="n">
        <f aca="false">100*(Z2-U2)/U2</f>
        <v>0.0574284802722535</v>
      </c>
      <c r="AF2" s="2" t="s">
        <v>330</v>
      </c>
      <c r="AG2" s="2" t="n">
        <v>47042</v>
      </c>
      <c r="AH2" s="2" t="n">
        <v>139.536</v>
      </c>
      <c r="AI2" s="2" t="n">
        <f aca="false">100*(AG2-$O2)/$O2</f>
        <v>0.066381989771703</v>
      </c>
      <c r="AL2" s="2" t="s">
        <v>330</v>
      </c>
      <c r="AM2" s="2" t="n">
        <v>47042</v>
      </c>
      <c r="AN2" s="2" t="n">
        <v>77.6665</v>
      </c>
      <c r="AO2" s="2" t="n">
        <f aca="false">100*(AM2-$O2)/$O2</f>
        <v>0.066381989771703</v>
      </c>
    </row>
    <row r="3" customFormat="false" ht="13.8" hidden="false" customHeight="false" outlineLevel="0" collapsed="false">
      <c r="A3" s="3" t="s">
        <v>5</v>
      </c>
      <c r="B3" s="2" t="n">
        <v>44578</v>
      </c>
      <c r="C3" s="2" t="n">
        <f aca="false">100*(B3-$O3)/$O3</f>
        <v>0.00993211832027222</v>
      </c>
      <c r="E3" s="3" t="s">
        <v>331</v>
      </c>
      <c r="F3" s="2" t="n">
        <v>44578</v>
      </c>
      <c r="G3" s="2" t="n">
        <v>113.1598</v>
      </c>
      <c r="H3" s="2" t="n">
        <f aca="false">100*(F3-$U3)/$U3</f>
        <v>0</v>
      </c>
      <c r="I3" s="6"/>
      <c r="J3" s="6" t="n">
        <f aca="false">100*(F3-U3)/U3</f>
        <v>0</v>
      </c>
      <c r="K3" s="6"/>
      <c r="M3" s="2" t="s">
        <v>331</v>
      </c>
      <c r="N3" s="2" t="n">
        <v>44578</v>
      </c>
      <c r="O3" s="2" t="n">
        <v>44573.5729</v>
      </c>
      <c r="P3" s="2" t="n">
        <v>63.634</v>
      </c>
      <c r="Q3" s="2" t="n">
        <f aca="false">100*(N3-O3)/O3</f>
        <v>0.00993211832027222</v>
      </c>
      <c r="S3" s="2" t="s">
        <v>331</v>
      </c>
      <c r="T3" s="2" t="n">
        <v>44578</v>
      </c>
      <c r="U3" s="2" t="n">
        <v>44578</v>
      </c>
      <c r="V3" s="2" t="n">
        <v>175.4971</v>
      </c>
      <c r="W3" s="2" t="n">
        <f aca="false">100*(T3-U3)/U3</f>
        <v>0</v>
      </c>
      <c r="Y3" s="2" t="s">
        <v>331</v>
      </c>
      <c r="Z3" s="2" t="n">
        <v>44604</v>
      </c>
      <c r="AA3" s="2" t="n">
        <v>83.4413</v>
      </c>
      <c r="AB3" s="2" t="n">
        <f aca="false">100*(Z3-O3)/O3</f>
        <v>0.0682626453756881</v>
      </c>
      <c r="AD3" s="2" t="n">
        <f aca="false">100*(Z3-U3)/U3</f>
        <v>0.0583247341738077</v>
      </c>
      <c r="AF3" s="2" t="s">
        <v>331</v>
      </c>
      <c r="AG3" s="2" t="n">
        <v>44578</v>
      </c>
      <c r="AH3" s="2" t="n">
        <v>139.2469</v>
      </c>
      <c r="AI3" s="2" t="n">
        <f aca="false">100*(AG3-$O3)/$O3</f>
        <v>0.00993211832027222</v>
      </c>
      <c r="AL3" s="2" t="s">
        <v>331</v>
      </c>
      <c r="AM3" s="2" t="n">
        <v>44578</v>
      </c>
      <c r="AN3" s="2" t="n">
        <v>81.2842</v>
      </c>
      <c r="AO3" s="2" t="n">
        <f aca="false">100*(AM3-$O3)/$O3</f>
        <v>0.00993211832027222</v>
      </c>
    </row>
    <row r="4" customFormat="false" ht="13.8" hidden="false" customHeight="false" outlineLevel="0" collapsed="false">
      <c r="A4" s="3" t="s">
        <v>7</v>
      </c>
      <c r="B4" s="2" t="n">
        <v>44911</v>
      </c>
      <c r="C4" s="2" t="n">
        <f aca="false">100*(B4-$O4)/$O4</f>
        <v>0.00740986967740704</v>
      </c>
      <c r="E4" s="3" t="s">
        <v>332</v>
      </c>
      <c r="F4" s="2" t="n">
        <v>44911</v>
      </c>
      <c r="G4" s="2" t="n">
        <v>132.1353</v>
      </c>
      <c r="H4" s="2" t="n">
        <f aca="false">100*(F4-$U4)/$U4</f>
        <v>0</v>
      </c>
      <c r="I4" s="6"/>
      <c r="J4" s="6" t="n">
        <f aca="false">100*(F4-U4)/U4</f>
        <v>0</v>
      </c>
      <c r="K4" s="6"/>
      <c r="M4" s="2" t="s">
        <v>332</v>
      </c>
      <c r="N4" s="2" t="n">
        <v>44911</v>
      </c>
      <c r="O4" s="2" t="n">
        <v>44907.6724</v>
      </c>
      <c r="P4" s="2" t="n">
        <v>65.803</v>
      </c>
      <c r="Q4" s="2" t="n">
        <f aca="false">100*(N4-O4)/O4</f>
        <v>0.00740986967740704</v>
      </c>
      <c r="S4" s="2" t="s">
        <v>332</v>
      </c>
      <c r="T4" s="2" t="n">
        <v>44911</v>
      </c>
      <c r="U4" s="2" t="n">
        <v>44911</v>
      </c>
      <c r="V4" s="2" t="n">
        <v>315.6087</v>
      </c>
      <c r="W4" s="2" t="n">
        <f aca="false">100*(T4-U4)/U4</f>
        <v>0</v>
      </c>
      <c r="Y4" s="2" t="s">
        <v>332</v>
      </c>
      <c r="Z4" s="2" t="n">
        <v>44911</v>
      </c>
      <c r="AA4" s="2" t="n">
        <v>105.7845</v>
      </c>
      <c r="AB4" s="2" t="n">
        <f aca="false">100*(Z4-O4)/O4</f>
        <v>0.00740986967740704</v>
      </c>
      <c r="AD4" s="2" t="n">
        <f aca="false">100*(Z4-U4)/U4</f>
        <v>0</v>
      </c>
      <c r="AF4" s="2" t="s">
        <v>332</v>
      </c>
      <c r="AG4" s="2" t="n">
        <v>44911</v>
      </c>
      <c r="AH4" s="2" t="n">
        <v>146.3125</v>
      </c>
      <c r="AI4" s="2" t="n">
        <f aca="false">100*(AG4-$O4)/$O4</f>
        <v>0.00740986967740704</v>
      </c>
      <c r="AL4" s="2" t="s">
        <v>332</v>
      </c>
      <c r="AM4" s="2" t="n">
        <v>44911</v>
      </c>
      <c r="AN4" s="2" t="n">
        <v>88.3666</v>
      </c>
      <c r="AO4" s="2" t="n">
        <f aca="false">100*(AM4-$O4)/$O4</f>
        <v>0.00740986967740704</v>
      </c>
    </row>
    <row r="5" customFormat="false" ht="13.8" hidden="false" customHeight="false" outlineLevel="0" collapsed="false">
      <c r="A5" s="3" t="s">
        <v>9</v>
      </c>
      <c r="B5" s="2" t="n">
        <v>44222</v>
      </c>
      <c r="C5" s="2" t="n">
        <f aca="false">100*(B5-$O5)/$O5</f>
        <v>0.00992183820470152</v>
      </c>
      <c r="E5" s="3" t="s">
        <v>333</v>
      </c>
      <c r="F5" s="2" t="n">
        <v>44238</v>
      </c>
      <c r="G5" s="2" t="n">
        <v>134.6478</v>
      </c>
      <c r="H5" s="2" t="n">
        <f aca="false">100*(F5-$U5)/$U5</f>
        <v>0.0361810863371173</v>
      </c>
      <c r="I5" s="6"/>
      <c r="J5" s="6" t="n">
        <f aca="false">100*(F5-U5)/U5</f>
        <v>0.0361810863371173</v>
      </c>
      <c r="K5" s="6"/>
      <c r="M5" s="2" t="s">
        <v>333</v>
      </c>
      <c r="N5" s="2" t="n">
        <v>44222</v>
      </c>
      <c r="O5" s="2" t="n">
        <v>44217.6128</v>
      </c>
      <c r="P5" s="2" t="n">
        <v>111.6084</v>
      </c>
      <c r="Q5" s="2" t="n">
        <f aca="false">100*(N5-O5)/O5</f>
        <v>0.00992183820470152</v>
      </c>
      <c r="S5" s="2" t="s">
        <v>333</v>
      </c>
      <c r="T5" s="2" t="n">
        <v>44222</v>
      </c>
      <c r="U5" s="2" t="n">
        <v>44222</v>
      </c>
      <c r="V5" s="2" t="n">
        <v>273.5127</v>
      </c>
      <c r="W5" s="2" t="n">
        <f aca="false">100*(T5-U5)/U5</f>
        <v>0</v>
      </c>
      <c r="Y5" s="2" t="s">
        <v>333</v>
      </c>
      <c r="Z5" s="2" t="n">
        <v>44238</v>
      </c>
      <c r="AA5" s="2" t="n">
        <v>115.4699</v>
      </c>
      <c r="AB5" s="2" t="n">
        <f aca="false">100*(Z5-O5)/O5</f>
        <v>0.0461065143706659</v>
      </c>
      <c r="AD5" s="2" t="n">
        <f aca="false">100*(Z5-U5)/U5</f>
        <v>0.0361810863371173</v>
      </c>
      <c r="AF5" s="2" t="s">
        <v>333</v>
      </c>
      <c r="AG5" s="2" t="n">
        <v>44222</v>
      </c>
      <c r="AH5" s="2" t="n">
        <v>255.9783</v>
      </c>
      <c r="AI5" s="2" t="n">
        <f aca="false">100*(AG5-$O5)/$O5</f>
        <v>0.00992183820470152</v>
      </c>
      <c r="AL5" s="2" t="s">
        <v>333</v>
      </c>
      <c r="AM5" s="2" t="n">
        <v>44238</v>
      </c>
      <c r="AN5" s="2" t="n">
        <v>115.9658</v>
      </c>
      <c r="AO5" s="2" t="n">
        <f aca="false">100*(AM5-$O5)/$O5</f>
        <v>0.0461065143706659</v>
      </c>
    </row>
    <row r="6" customFormat="false" ht="13.8" hidden="false" customHeight="false" outlineLevel="0" collapsed="false">
      <c r="A6" s="3" t="s">
        <v>11</v>
      </c>
      <c r="B6" s="2" t="n">
        <v>46402</v>
      </c>
      <c r="C6" s="2" t="n">
        <f aca="false">100*(B6-$O6)/$O6</f>
        <v>0.00979536481130824</v>
      </c>
      <c r="E6" s="3" t="s">
        <v>334</v>
      </c>
      <c r="F6" s="2" t="n">
        <v>46402</v>
      </c>
      <c r="G6" s="2" t="n">
        <v>141.5308</v>
      </c>
      <c r="H6" s="2" t="n">
        <f aca="false">100*(F6-$U6)/$U6</f>
        <v>0</v>
      </c>
      <c r="I6" s="6"/>
      <c r="J6" s="6" t="n">
        <f aca="false">100*(F6-U6)/U6</f>
        <v>0</v>
      </c>
      <c r="K6" s="6"/>
      <c r="M6" s="2" t="s">
        <v>334</v>
      </c>
      <c r="N6" s="2" t="n">
        <v>46402</v>
      </c>
      <c r="O6" s="2" t="n">
        <v>46397.4552</v>
      </c>
      <c r="P6" s="2" t="n">
        <v>234.7172</v>
      </c>
      <c r="Q6" s="2" t="n">
        <f aca="false">100*(N6-O6)/O6</f>
        <v>0.00979536481130824</v>
      </c>
      <c r="S6" s="2" t="s">
        <v>334</v>
      </c>
      <c r="T6" s="2" t="n">
        <v>46402</v>
      </c>
      <c r="U6" s="2" t="n">
        <v>46402</v>
      </c>
      <c r="V6" s="2" t="n">
        <v>276.624</v>
      </c>
      <c r="W6" s="2" t="n">
        <f aca="false">100*(T6-U6)/U6</f>
        <v>0</v>
      </c>
      <c r="Y6" s="2" t="s">
        <v>334</v>
      </c>
      <c r="Z6" s="2" t="n">
        <v>46402</v>
      </c>
      <c r="AA6" s="2" t="n">
        <v>220.8588</v>
      </c>
      <c r="AB6" s="2" t="n">
        <f aca="false">100*(Z6-O6)/O6</f>
        <v>0.00979536481130824</v>
      </c>
      <c r="AD6" s="2" t="n">
        <f aca="false">100*(Z6-U6)/U6</f>
        <v>0</v>
      </c>
      <c r="AF6" s="2" t="s">
        <v>334</v>
      </c>
      <c r="AG6" s="2" t="n">
        <v>46402</v>
      </c>
      <c r="AH6" s="2" t="n">
        <v>573.5122</v>
      </c>
      <c r="AI6" s="2" t="n">
        <f aca="false">100*(AG6-$O6)/$O6</f>
        <v>0.00979536481130824</v>
      </c>
      <c r="AL6" s="2" t="s">
        <v>334</v>
      </c>
      <c r="AM6" s="2" t="n">
        <v>46402</v>
      </c>
      <c r="AN6" s="2" t="n">
        <v>155.8173</v>
      </c>
      <c r="AO6" s="2" t="n">
        <f aca="false">100*(AM6-$O6)/$O6</f>
        <v>0.00979536481130824</v>
      </c>
    </row>
    <row r="7" customFormat="false" ht="13.8" hidden="false" customHeight="false" outlineLevel="0" collapsed="false">
      <c r="A7" s="3" t="s">
        <v>13</v>
      </c>
      <c r="B7" s="2" t="n">
        <v>44405</v>
      </c>
      <c r="C7" s="2" t="n">
        <f aca="false">100*(B7-$O7)/$O7</f>
        <v>0.0097264273065834</v>
      </c>
      <c r="E7" s="3" t="s">
        <v>335</v>
      </c>
      <c r="F7" s="2" t="n">
        <v>44405</v>
      </c>
      <c r="G7" s="2" t="n">
        <v>126.0098</v>
      </c>
      <c r="H7" s="2" t="n">
        <f aca="false">100*(F7-$U7)/$U7</f>
        <v>0</v>
      </c>
      <c r="I7" s="6"/>
      <c r="J7" s="6" t="n">
        <f aca="false">100*(F7-U7)/U7</f>
        <v>0</v>
      </c>
      <c r="K7" s="6"/>
      <c r="M7" s="2" t="s">
        <v>335</v>
      </c>
      <c r="N7" s="2" t="n">
        <v>44405</v>
      </c>
      <c r="O7" s="2" t="n">
        <v>44400.6814</v>
      </c>
      <c r="P7" s="2" t="n">
        <v>169.3995</v>
      </c>
      <c r="Q7" s="2" t="n">
        <f aca="false">100*(N7-O7)/O7</f>
        <v>0.0097264273065834</v>
      </c>
      <c r="S7" s="2" t="s">
        <v>335</v>
      </c>
      <c r="T7" s="2" t="n">
        <v>44405</v>
      </c>
      <c r="U7" s="2" t="n">
        <v>44405</v>
      </c>
      <c r="V7" s="2" t="n">
        <v>254.9326</v>
      </c>
      <c r="W7" s="2" t="n">
        <f aca="false">100*(T7-U7)/U7</f>
        <v>0</v>
      </c>
      <c r="Y7" s="2" t="s">
        <v>335</v>
      </c>
      <c r="Z7" s="2" t="n">
        <v>44405</v>
      </c>
      <c r="AA7" s="2" t="n">
        <v>148.3833</v>
      </c>
      <c r="AB7" s="2" t="n">
        <f aca="false">100*(Z7-O7)/O7</f>
        <v>0.0097264273065834</v>
      </c>
      <c r="AD7" s="2" t="n">
        <f aca="false">100*(Z7-U7)/U7</f>
        <v>0</v>
      </c>
      <c r="AF7" s="2" t="s">
        <v>335</v>
      </c>
      <c r="AG7" s="2" t="n">
        <v>44405</v>
      </c>
      <c r="AH7" s="2" t="n">
        <v>249.49</v>
      </c>
      <c r="AI7" s="2" t="n">
        <f aca="false">100*(AG7-$O7)/$O7</f>
        <v>0.0097264273065834</v>
      </c>
      <c r="AL7" s="2" t="s">
        <v>335</v>
      </c>
      <c r="AM7" s="2" t="n">
        <v>44405</v>
      </c>
      <c r="AN7" s="2" t="n">
        <v>145.8004</v>
      </c>
      <c r="AO7" s="2" t="n">
        <f aca="false">100*(AM7-$O7)/$O7</f>
        <v>0.0097264273065834</v>
      </c>
    </row>
    <row r="8" customFormat="false" ht="13.8" hidden="false" customHeight="false" outlineLevel="0" collapsed="false">
      <c r="A8" s="3" t="s">
        <v>15</v>
      </c>
      <c r="B8" s="2" t="n">
        <v>44349</v>
      </c>
      <c r="C8" s="2" t="n">
        <f aca="false">100*(B8-$O8)/$O8</f>
        <v>0.00982689175959477</v>
      </c>
      <c r="E8" s="3" t="s">
        <v>336</v>
      </c>
      <c r="F8" s="2" t="n">
        <v>44349</v>
      </c>
      <c r="G8" s="2" t="n">
        <v>261.1881</v>
      </c>
      <c r="H8" s="2" t="n">
        <f aca="false">100*(F8-$U8)/$U8</f>
        <v>0</v>
      </c>
      <c r="I8" s="6"/>
      <c r="J8" s="6" t="n">
        <f aca="false">100*(F8-U8)/U8</f>
        <v>0</v>
      </c>
      <c r="K8" s="6"/>
      <c r="M8" s="2" t="s">
        <v>336</v>
      </c>
      <c r="N8" s="2" t="n">
        <v>44349</v>
      </c>
      <c r="O8" s="2" t="n">
        <v>44344.6423</v>
      </c>
      <c r="P8" s="2" t="n">
        <v>323.3421</v>
      </c>
      <c r="Q8" s="2" t="n">
        <f aca="false">100*(N8-O8)/O8</f>
        <v>0.00982689175959477</v>
      </c>
      <c r="S8" s="2" t="s">
        <v>336</v>
      </c>
      <c r="T8" s="2" t="n">
        <v>44349</v>
      </c>
      <c r="U8" s="2" t="n">
        <v>44349</v>
      </c>
      <c r="V8" s="2" t="n">
        <v>397.9253</v>
      </c>
      <c r="W8" s="2" t="n">
        <f aca="false">100*(T8-U8)/U8</f>
        <v>0</v>
      </c>
      <c r="Y8" s="2" t="s">
        <v>336</v>
      </c>
      <c r="Z8" s="2" t="n">
        <v>44349</v>
      </c>
      <c r="AA8" s="2" t="n">
        <v>298.5612</v>
      </c>
      <c r="AB8" s="2" t="n">
        <f aca="false">100*(Z8-O8)/O8</f>
        <v>0.00982689175959477</v>
      </c>
      <c r="AD8" s="2" t="n">
        <f aca="false">100*(Z8-U8)/U8</f>
        <v>0</v>
      </c>
      <c r="AF8" s="2" t="s">
        <v>336</v>
      </c>
      <c r="AG8" s="2" t="n">
        <v>44454</v>
      </c>
      <c r="AH8" s="2" t="n">
        <v>594.8189</v>
      </c>
      <c r="AI8" s="2" t="n">
        <f aca="false">100*(AG8-$O8)/$O8</f>
        <v>0.246608596502312</v>
      </c>
      <c r="AL8" s="2" t="s">
        <v>336</v>
      </c>
      <c r="AM8" s="2" t="n">
        <v>44349</v>
      </c>
      <c r="AN8" s="2" t="n">
        <v>216.2507</v>
      </c>
      <c r="AO8" s="2" t="n">
        <f aca="false">100*(AM8-$O8)/$O8</f>
        <v>0.00982689175959477</v>
      </c>
    </row>
    <row r="9" customFormat="false" ht="13.8" hidden="false" customHeight="false" outlineLevel="0" collapsed="false">
      <c r="A9" s="3" t="s">
        <v>17</v>
      </c>
      <c r="B9" s="2" t="n">
        <v>47521</v>
      </c>
      <c r="C9" s="2" t="n">
        <f aca="false">100*(B9-$O9)/$O9</f>
        <v>0.00998205731983844</v>
      </c>
      <c r="E9" s="3" t="s">
        <v>337</v>
      </c>
      <c r="F9" s="2" t="n">
        <v>47522</v>
      </c>
      <c r="G9" s="2" t="n">
        <v>223.8281</v>
      </c>
      <c r="H9" s="2" t="n">
        <f aca="false">100*(F9-$U9)/$U9</f>
        <v>0.00210433282127901</v>
      </c>
      <c r="I9" s="6"/>
      <c r="J9" s="6" t="n">
        <f aca="false">100*(F9-U9)/U9</f>
        <v>0.00210433282127901</v>
      </c>
      <c r="K9" s="6"/>
      <c r="M9" s="2" t="s">
        <v>337</v>
      </c>
      <c r="N9" s="2" t="n">
        <v>47521</v>
      </c>
      <c r="O9" s="2" t="n">
        <v>47516.2569</v>
      </c>
      <c r="P9" s="2" t="n">
        <v>151.9228</v>
      </c>
      <c r="Q9" s="2" t="n">
        <f aca="false">100*(N9-O9)/O9</f>
        <v>0.00998205731983844</v>
      </c>
      <c r="S9" s="2" t="s">
        <v>337</v>
      </c>
      <c r="T9" s="2" t="n">
        <v>47521</v>
      </c>
      <c r="U9" s="2" t="n">
        <v>47521</v>
      </c>
      <c r="V9" s="2" t="n">
        <v>258.4711</v>
      </c>
      <c r="W9" s="2" t="n">
        <f aca="false">100*(T9-U9)/U9</f>
        <v>0</v>
      </c>
      <c r="Y9" s="2" t="s">
        <v>337</v>
      </c>
      <c r="Z9" s="2" t="n">
        <v>47521</v>
      </c>
      <c r="AA9" s="2" t="n">
        <v>232.3158</v>
      </c>
      <c r="AB9" s="2" t="n">
        <f aca="false">100*(Z9-O9)/O9</f>
        <v>0.00998205731983844</v>
      </c>
      <c r="AD9" s="2" t="n">
        <f aca="false">100*(Z9-U9)/U9</f>
        <v>0</v>
      </c>
      <c r="AF9" s="2" t="s">
        <v>337</v>
      </c>
      <c r="AG9" s="2" t="n">
        <v>47521</v>
      </c>
      <c r="AH9" s="2" t="n">
        <v>392.0598</v>
      </c>
      <c r="AI9" s="2" t="n">
        <f aca="false">100*(AG9-$O9)/$O9</f>
        <v>0.00998205731983844</v>
      </c>
      <c r="AL9" s="2" t="s">
        <v>337</v>
      </c>
      <c r="AM9" s="2" t="n">
        <v>47521</v>
      </c>
      <c r="AN9" s="2" t="n">
        <v>245.5664</v>
      </c>
      <c r="AO9" s="2" t="n">
        <f aca="false">100*(AM9-$O9)/$O9</f>
        <v>0.00998205731983844</v>
      </c>
    </row>
    <row r="10" customFormat="false" ht="13.8" hidden="false" customHeight="false" outlineLevel="0" collapsed="false">
      <c r="A10" s="3" t="s">
        <v>19</v>
      </c>
      <c r="B10" s="2" t="n">
        <v>45972</v>
      </c>
      <c r="C10" s="2" t="n">
        <f aca="false">100*(B10-$O10)/$O10</f>
        <v>0.00989112877392963</v>
      </c>
      <c r="E10" s="3" t="s">
        <v>338</v>
      </c>
      <c r="F10" s="2" t="n">
        <v>45974</v>
      </c>
      <c r="G10" s="2" t="n">
        <v>85.8654</v>
      </c>
      <c r="H10" s="2" t="n">
        <f aca="false">100*(F10-$U10)/$U10</f>
        <v>0.00435047420168798</v>
      </c>
      <c r="I10" s="6"/>
      <c r="J10" s="6" t="n">
        <f aca="false">100*(F10-U10)/U10</f>
        <v>0.00435047420168798</v>
      </c>
      <c r="K10" s="6"/>
      <c r="M10" s="2" t="s">
        <v>338</v>
      </c>
      <c r="N10" s="2" t="n">
        <v>45972</v>
      </c>
      <c r="O10" s="2" t="n">
        <v>45967.4533</v>
      </c>
      <c r="P10" s="2" t="n">
        <v>85.8929</v>
      </c>
      <c r="Q10" s="2" t="n">
        <f aca="false">100*(N10-O10)/O10</f>
        <v>0.00989112877392963</v>
      </c>
      <c r="S10" s="2" t="s">
        <v>338</v>
      </c>
      <c r="T10" s="2" t="n">
        <v>45972</v>
      </c>
      <c r="U10" s="2" t="n">
        <v>45972</v>
      </c>
      <c r="V10" s="2" t="n">
        <v>193.2707</v>
      </c>
      <c r="W10" s="2" t="n">
        <f aca="false">100*(T10-U10)/U10</f>
        <v>0</v>
      </c>
      <c r="Y10" s="2" t="s">
        <v>338</v>
      </c>
      <c r="Z10" s="2" t="n">
        <v>46003</v>
      </c>
      <c r="AA10" s="2" t="n">
        <v>91.7509</v>
      </c>
      <c r="AB10" s="2" t="n">
        <f aca="false">100*(Z10-O10)/O10</f>
        <v>0.0773301487206796</v>
      </c>
      <c r="AD10" s="2" t="n">
        <f aca="false">100*(Z10-U10)/U10</f>
        <v>0.0674323501261638</v>
      </c>
      <c r="AF10" s="2" t="s">
        <v>338</v>
      </c>
      <c r="AG10" s="2" t="n">
        <v>46003</v>
      </c>
      <c r="AH10" s="2" t="n">
        <v>188.2284</v>
      </c>
      <c r="AI10" s="2" t="n">
        <f aca="false">100*(AG10-$O10)/$O10</f>
        <v>0.0773301487206796</v>
      </c>
      <c r="AL10" s="2" t="s">
        <v>338</v>
      </c>
      <c r="AM10" s="2" t="n">
        <v>46003</v>
      </c>
      <c r="AN10" s="2" t="n">
        <v>93.5396</v>
      </c>
      <c r="AO10" s="2" t="n">
        <f aca="false">100*(AM10-$O10)/$O10</f>
        <v>0.0773301487206796</v>
      </c>
    </row>
    <row r="11" customFormat="false" ht="13.8" hidden="false" customHeight="false" outlineLevel="0" collapsed="false">
      <c r="A11" s="3" t="s">
        <v>21</v>
      </c>
      <c r="B11" s="2" t="n">
        <v>45780</v>
      </c>
      <c r="C11" s="2" t="n">
        <f aca="false">100*(B11-$O11)/$O11</f>
        <v>0.00983845147334408</v>
      </c>
      <c r="E11" s="3" t="s">
        <v>339</v>
      </c>
      <c r="F11" s="2" t="n">
        <v>45803</v>
      </c>
      <c r="G11" s="2" t="n">
        <v>28.1049</v>
      </c>
      <c r="H11" s="2" t="n">
        <f aca="false">100*(F11-$U11)/$U11</f>
        <v>0.0502402795980778</v>
      </c>
      <c r="I11" s="6" t="n">
        <f aca="false">AVERAGE(H2:H11)</f>
        <v>0.0150304653230416</v>
      </c>
      <c r="J11" s="6" t="n">
        <f aca="false">100*(F11-U11)/U11</f>
        <v>0.0502402795980778</v>
      </c>
      <c r="K11" s="6" t="n">
        <f aca="false">AVERAGE(J2:J11)</f>
        <v>0.0150304653230416</v>
      </c>
      <c r="M11" s="2" t="s">
        <v>339</v>
      </c>
      <c r="N11" s="2" t="n">
        <v>45780</v>
      </c>
      <c r="O11" s="2" t="n">
        <v>45775.4964</v>
      </c>
      <c r="P11" s="2" t="n">
        <v>70.6832</v>
      </c>
      <c r="Q11" s="2" t="n">
        <f aca="false">100*(N11-O11)/O11</f>
        <v>0.00983845147334408</v>
      </c>
      <c r="R11" s="7" t="n">
        <f aca="false">AVERAGE(Q2:Q11)</f>
        <v>0.00952725182331921</v>
      </c>
      <c r="S11" s="2" t="s">
        <v>339</v>
      </c>
      <c r="T11" s="2" t="n">
        <v>45780</v>
      </c>
      <c r="U11" s="2" t="n">
        <v>45780</v>
      </c>
      <c r="V11" s="2" t="n">
        <v>187.9302</v>
      </c>
      <c r="W11" s="2" t="n">
        <f aca="false">100*(T11-U11)/U11</f>
        <v>0</v>
      </c>
      <c r="X11" s="7" t="n">
        <f aca="false">AVERAGE(W2:W11)</f>
        <v>0</v>
      </c>
      <c r="Y11" s="2" t="s">
        <v>339</v>
      </c>
      <c r="Z11" s="2" t="n">
        <v>45789</v>
      </c>
      <c r="AA11" s="2" t="n">
        <v>52.4166</v>
      </c>
      <c r="AB11" s="2" t="n">
        <f aca="false">100*(Z11-O11)/O11</f>
        <v>0.0294996254808421</v>
      </c>
      <c r="AC11" s="6" t="n">
        <f aca="false">AVERAGE(AB2:AB11)</f>
        <v>0.0334321534594311</v>
      </c>
      <c r="AD11" s="2" t="n">
        <f aca="false">100*(Z11-U11)/U11</f>
        <v>0.0196592398427261</v>
      </c>
      <c r="AE11" s="6" t="n">
        <f aca="false">AVERAGE(AD2:AD11)</f>
        <v>0.0239025890752068</v>
      </c>
      <c r="AF11" s="2" t="s">
        <v>339</v>
      </c>
      <c r="AG11" s="2" t="n">
        <v>45789</v>
      </c>
      <c r="AH11" s="2" t="n">
        <v>103.0025</v>
      </c>
      <c r="AI11" s="2" t="n">
        <f aca="false">100*(AG11-$O11)/$O11</f>
        <v>0.0294996254808421</v>
      </c>
      <c r="AJ11" s="6" t="n">
        <f aca="false">AVERAGE(AI2:AI11)</f>
        <v>0.0476588036115647</v>
      </c>
      <c r="AL11" s="2" t="s">
        <v>339</v>
      </c>
      <c r="AM11" s="2" t="n">
        <v>45789</v>
      </c>
      <c r="AN11" s="2" t="n">
        <v>57.8345</v>
      </c>
      <c r="AO11" s="2" t="n">
        <f aca="false">100*(AM11-$O11)/$O11</f>
        <v>0.0294996254808421</v>
      </c>
      <c r="AP11" s="6" t="n">
        <f aca="false">AVERAGE(AO2:AO11)</f>
        <v>0.0275991007538895</v>
      </c>
    </row>
    <row r="12" customFormat="false" ht="13.8" hidden="false" customHeight="false" outlineLevel="0" collapsed="false">
      <c r="A12" s="3" t="s">
        <v>23</v>
      </c>
      <c r="B12" s="2" t="n">
        <v>28159</v>
      </c>
      <c r="C12" s="2" t="n">
        <f aca="false">100*(B12-$O12)/$O12</f>
        <v>0.00993955100775156</v>
      </c>
      <c r="E12" s="3" t="s">
        <v>340</v>
      </c>
      <c r="F12" s="2" t="n">
        <v>28159</v>
      </c>
      <c r="G12" s="2" t="n">
        <v>15.928</v>
      </c>
      <c r="H12" s="2" t="n">
        <f aca="false">100*(F12-$U12)/$U12</f>
        <v>0</v>
      </c>
      <c r="I12" s="6"/>
      <c r="J12" s="6" t="n">
        <f aca="false">100*(F12-U12)/U12</f>
        <v>0</v>
      </c>
      <c r="K12" s="6"/>
      <c r="M12" s="2" t="s">
        <v>340</v>
      </c>
      <c r="N12" s="2" t="n">
        <v>28159</v>
      </c>
      <c r="O12" s="2" t="n">
        <v>28156.2014</v>
      </c>
      <c r="P12" s="2" t="n">
        <v>6.4452</v>
      </c>
      <c r="Q12" s="2" t="n">
        <f aca="false">100*(N12-O12)/O12</f>
        <v>0.00993955100775156</v>
      </c>
      <c r="S12" s="2" t="s">
        <v>340</v>
      </c>
      <c r="T12" s="2" t="n">
        <v>28159</v>
      </c>
      <c r="U12" s="2" t="n">
        <v>28159</v>
      </c>
      <c r="V12" s="2" t="n">
        <v>61.4485</v>
      </c>
      <c r="W12" s="2" t="n">
        <f aca="false">100*(T12-U12)/U12</f>
        <v>0</v>
      </c>
      <c r="Y12" s="2" t="s">
        <v>340</v>
      </c>
      <c r="Z12" s="2" t="n">
        <v>28159</v>
      </c>
      <c r="AA12" s="2" t="n">
        <v>20.2269</v>
      </c>
      <c r="AB12" s="2" t="n">
        <f aca="false">100*(Z12-$O12)/$O12</f>
        <v>0.00993955100775156</v>
      </c>
      <c r="AD12" s="2" t="n">
        <f aca="false">100*(Z12-U12)/U12</f>
        <v>0</v>
      </c>
      <c r="AF12" s="2" t="s">
        <v>340</v>
      </c>
      <c r="AG12" s="2" t="n">
        <v>28159</v>
      </c>
      <c r="AH12" s="2" t="n">
        <v>31.2588</v>
      </c>
      <c r="AI12" s="2" t="n">
        <f aca="false">100*(AG12-$O12)/$O12</f>
        <v>0.00993955100775156</v>
      </c>
      <c r="AL12" s="2" t="s">
        <v>340</v>
      </c>
      <c r="AM12" s="2" t="n">
        <v>28159</v>
      </c>
      <c r="AN12" s="2" t="n">
        <v>20.2019</v>
      </c>
      <c r="AO12" s="2" t="n">
        <f aca="false">100*(AM12-$O12)/$O12</f>
        <v>0.00993955100775156</v>
      </c>
      <c r="AS12" s="2" t="s">
        <v>340</v>
      </c>
      <c r="AT12" s="2" t="n">
        <v>28159</v>
      </c>
      <c r="AU12" s="2" t="n">
        <v>9.7712</v>
      </c>
    </row>
    <row r="13" customFormat="false" ht="13.8" hidden="false" customHeight="false" outlineLevel="0" collapsed="false">
      <c r="A13" s="3" t="s">
        <v>25</v>
      </c>
      <c r="B13" s="2" t="n">
        <v>28229</v>
      </c>
      <c r="C13" s="2" t="n">
        <f aca="false">100*(B13-$O13)/$O13</f>
        <v>0.00967892744446404</v>
      </c>
      <c r="E13" s="3" t="s">
        <v>341</v>
      </c>
      <c r="F13" s="2" t="n">
        <v>28229</v>
      </c>
      <c r="G13" s="2" t="n">
        <v>15.1518</v>
      </c>
      <c r="H13" s="2" t="n">
        <f aca="false">100*(F13-$U13)/$U13</f>
        <v>0</v>
      </c>
      <c r="I13" s="6"/>
      <c r="J13" s="6" t="n">
        <f aca="false">100*(F13-U13)/U13</f>
        <v>0</v>
      </c>
      <c r="K13" s="6"/>
      <c r="M13" s="2" t="s">
        <v>341</v>
      </c>
      <c r="N13" s="2" t="n">
        <v>28229</v>
      </c>
      <c r="O13" s="2" t="n">
        <v>28226.268</v>
      </c>
      <c r="P13" s="2" t="n">
        <v>9.3845</v>
      </c>
      <c r="Q13" s="2" t="n">
        <f aca="false">100*(N13-O13)/O13</f>
        <v>0.00967892744446404</v>
      </c>
      <c r="S13" s="2" t="s">
        <v>341</v>
      </c>
      <c r="T13" s="2" t="n">
        <v>28229</v>
      </c>
      <c r="U13" s="2" t="n">
        <v>28229</v>
      </c>
      <c r="V13" s="2" t="n">
        <v>77.8902</v>
      </c>
      <c r="W13" s="2" t="n">
        <f aca="false">100*(T13-U13)/U13</f>
        <v>0</v>
      </c>
      <c r="Y13" s="2" t="s">
        <v>341</v>
      </c>
      <c r="Z13" s="2" t="n">
        <v>28229</v>
      </c>
      <c r="AA13" s="2" t="n">
        <v>19.2253</v>
      </c>
      <c r="AB13" s="2" t="n">
        <f aca="false">100*(Z13-$O13)/$O13</f>
        <v>0.00967892744446404</v>
      </c>
      <c r="AD13" s="2" t="n">
        <f aca="false">100*(Z13-U13)/U13</f>
        <v>0</v>
      </c>
      <c r="AF13" s="2" t="s">
        <v>341</v>
      </c>
      <c r="AG13" s="2" t="n">
        <v>28229</v>
      </c>
      <c r="AH13" s="2" t="n">
        <v>25.2476</v>
      </c>
      <c r="AI13" s="2" t="n">
        <f aca="false">100*(AG13-$O13)/$O13</f>
        <v>0.00967892744446404</v>
      </c>
      <c r="AL13" s="2" t="s">
        <v>341</v>
      </c>
      <c r="AM13" s="2" t="n">
        <v>28229</v>
      </c>
      <c r="AN13" s="2" t="n">
        <v>12.9493</v>
      </c>
      <c r="AO13" s="2" t="n">
        <f aca="false">100*(AM13-$O13)/$O13</f>
        <v>0.00967892744446404</v>
      </c>
      <c r="AS13" s="2" t="s">
        <v>341</v>
      </c>
      <c r="AT13" s="2" t="n">
        <v>28229</v>
      </c>
      <c r="AU13" s="2" t="n">
        <v>9.4849</v>
      </c>
    </row>
    <row r="14" customFormat="false" ht="13.8" hidden="false" customHeight="false" outlineLevel="0" collapsed="false">
      <c r="A14" s="3" t="s">
        <v>27</v>
      </c>
      <c r="B14" s="2" t="n">
        <v>29002</v>
      </c>
      <c r="C14" s="2" t="n">
        <f aca="false">100*(B14-$O14)/$O14</f>
        <v>0.00302264152980915</v>
      </c>
      <c r="E14" s="3" t="s">
        <v>342</v>
      </c>
      <c r="F14" s="2" t="n">
        <v>29002</v>
      </c>
      <c r="G14" s="2" t="n">
        <v>12.9349</v>
      </c>
      <c r="H14" s="2" t="n">
        <f aca="false">100*(F14-$U14)/$U14</f>
        <v>0</v>
      </c>
      <c r="I14" s="6"/>
      <c r="J14" s="6" t="n">
        <f aca="false">100*(F14-U14)/U14</f>
        <v>0</v>
      </c>
      <c r="K14" s="6"/>
      <c r="M14" s="2" t="s">
        <v>342</v>
      </c>
      <c r="N14" s="2" t="n">
        <v>29004</v>
      </c>
      <c r="O14" s="2" t="n">
        <v>29001.1234</v>
      </c>
      <c r="P14" s="2" t="n">
        <v>9.5633</v>
      </c>
      <c r="Q14" s="2" t="n">
        <f aca="false">100*(N14-O14)/O14</f>
        <v>0.00991892610615077</v>
      </c>
      <c r="S14" s="2" t="s">
        <v>342</v>
      </c>
      <c r="T14" s="2" t="n">
        <v>29002</v>
      </c>
      <c r="U14" s="2" t="n">
        <v>29002</v>
      </c>
      <c r="V14" s="2" t="n">
        <v>56.9192</v>
      </c>
      <c r="W14" s="2" t="n">
        <f aca="false">100*(T14-U14)/U14</f>
        <v>0</v>
      </c>
      <c r="Y14" s="2" t="s">
        <v>342</v>
      </c>
      <c r="Z14" s="2" t="n">
        <v>29002</v>
      </c>
      <c r="AA14" s="2" t="n">
        <v>24.79</v>
      </c>
      <c r="AB14" s="2" t="n">
        <f aca="false">100*(Z14-$O14)/$O14</f>
        <v>0.00302264152980915</v>
      </c>
      <c r="AD14" s="2" t="n">
        <f aca="false">100*(Z14-U14)/U14</f>
        <v>0</v>
      </c>
      <c r="AF14" s="2" t="s">
        <v>342</v>
      </c>
      <c r="AG14" s="2" t="n">
        <v>29002</v>
      </c>
      <c r="AH14" s="2" t="n">
        <v>26.6133</v>
      </c>
      <c r="AI14" s="2" t="n">
        <f aca="false">100*(AG14-$O14)/$O14</f>
        <v>0.00302264152980915</v>
      </c>
      <c r="AL14" s="2" t="s">
        <v>342</v>
      </c>
      <c r="AM14" s="2" t="n">
        <v>29002</v>
      </c>
      <c r="AN14" s="2" t="n">
        <v>16.0571</v>
      </c>
      <c r="AO14" s="2" t="n">
        <f aca="false">100*(AM14-$O14)/$O14</f>
        <v>0.00302264152980915</v>
      </c>
      <c r="AS14" s="2" t="s">
        <v>342</v>
      </c>
      <c r="AT14" s="2" t="n">
        <v>29002</v>
      </c>
      <c r="AU14" s="2" t="n">
        <v>12.7693</v>
      </c>
    </row>
    <row r="15" customFormat="false" ht="13.8" hidden="false" customHeight="false" outlineLevel="0" collapsed="false">
      <c r="A15" s="3" t="s">
        <v>29</v>
      </c>
      <c r="B15" s="2" t="n">
        <v>27404</v>
      </c>
      <c r="C15" s="2" t="n">
        <f aca="false">100*(B15-$O15)/$O15</f>
        <v>0.00993822302470358</v>
      </c>
      <c r="E15" s="3" t="s">
        <v>343</v>
      </c>
      <c r="F15" s="2" t="n">
        <v>27404</v>
      </c>
      <c r="G15" s="2" t="n">
        <v>14.0898</v>
      </c>
      <c r="H15" s="2" t="n">
        <f aca="false">100*(F15-$U15)/$U15</f>
        <v>0</v>
      </c>
      <c r="I15" s="6"/>
      <c r="J15" s="6" t="n">
        <f aca="false">100*(F15-U15)/U15</f>
        <v>0</v>
      </c>
      <c r="K15" s="6"/>
      <c r="M15" s="2" t="s">
        <v>343</v>
      </c>
      <c r="N15" s="2" t="n">
        <v>27404</v>
      </c>
      <c r="O15" s="2" t="n">
        <v>27401.2768</v>
      </c>
      <c r="P15" s="2" t="n">
        <v>4.9331</v>
      </c>
      <c r="Q15" s="2" t="n">
        <f aca="false">100*(N15-O15)/O15</f>
        <v>0.00993822302470358</v>
      </c>
      <c r="S15" s="2" t="s">
        <v>343</v>
      </c>
      <c r="T15" s="2" t="n">
        <v>27404</v>
      </c>
      <c r="U15" s="2" t="n">
        <v>27404</v>
      </c>
      <c r="V15" s="2" t="n">
        <v>46.2155</v>
      </c>
      <c r="W15" s="2" t="n">
        <f aca="false">100*(T15-U15)/U15</f>
        <v>0</v>
      </c>
      <c r="Y15" s="2" t="s">
        <v>343</v>
      </c>
      <c r="Z15" s="2" t="n">
        <v>27404</v>
      </c>
      <c r="AA15" s="2" t="n">
        <v>17.8122</v>
      </c>
      <c r="AB15" s="2" t="n">
        <f aca="false">100*(Z15-$O15)/$O15</f>
        <v>0.00993822302470358</v>
      </c>
      <c r="AD15" s="2" t="n">
        <f aca="false">100*(Z15-U15)/U15</f>
        <v>0</v>
      </c>
      <c r="AF15" s="2" t="s">
        <v>343</v>
      </c>
      <c r="AG15" s="2" t="n">
        <v>27404</v>
      </c>
      <c r="AH15" s="2" t="n">
        <v>17.1546</v>
      </c>
      <c r="AI15" s="2" t="n">
        <f aca="false">100*(AG15-$O15)/$O15</f>
        <v>0.00993822302470358</v>
      </c>
      <c r="AL15" s="2" t="s">
        <v>343</v>
      </c>
      <c r="AM15" s="2" t="n">
        <v>27404</v>
      </c>
      <c r="AN15" s="2" t="n">
        <v>9.6542</v>
      </c>
      <c r="AO15" s="2" t="n">
        <f aca="false">100*(AM15-$O15)/$O15</f>
        <v>0.00993822302470358</v>
      </c>
      <c r="AS15" s="2" t="s">
        <v>343</v>
      </c>
      <c r="AT15" s="2" t="n">
        <v>27404</v>
      </c>
      <c r="AU15" s="2" t="n">
        <v>8.7779</v>
      </c>
    </row>
    <row r="16" customFormat="false" ht="13.8" hidden="false" customHeight="false" outlineLevel="0" collapsed="false">
      <c r="A16" s="3" t="s">
        <v>31</v>
      </c>
      <c r="B16" s="2" t="n">
        <v>28959</v>
      </c>
      <c r="C16" s="2" t="n">
        <f aca="false">100*(B16-$O16)/$O16</f>
        <v>0.00983728794208049</v>
      </c>
      <c r="E16" s="3" t="s">
        <v>344</v>
      </c>
      <c r="F16" s="2" t="n">
        <v>28959</v>
      </c>
      <c r="G16" s="2" t="n">
        <v>19.5505</v>
      </c>
      <c r="H16" s="2" t="n">
        <f aca="false">100*(F16-$U16)/$U16</f>
        <v>0</v>
      </c>
      <c r="I16" s="6"/>
      <c r="J16" s="6" t="n">
        <f aca="false">100*(F16-U16)/U16</f>
        <v>0</v>
      </c>
      <c r="K16" s="6"/>
      <c r="M16" s="2" t="s">
        <v>344</v>
      </c>
      <c r="N16" s="2" t="n">
        <v>28959</v>
      </c>
      <c r="O16" s="2" t="n">
        <v>28956.1515</v>
      </c>
      <c r="P16" s="2" t="n">
        <v>5.5205</v>
      </c>
      <c r="Q16" s="2" t="n">
        <f aca="false">100*(N16-O16)/O16</f>
        <v>0.00983728794208049</v>
      </c>
      <c r="S16" s="2" t="s">
        <v>344</v>
      </c>
      <c r="T16" s="2" t="n">
        <v>28959</v>
      </c>
      <c r="U16" s="2" t="n">
        <v>28959</v>
      </c>
      <c r="V16" s="2" t="n">
        <v>83.7089</v>
      </c>
      <c r="W16" s="2" t="n">
        <f aca="false">100*(T16-U16)/U16</f>
        <v>0</v>
      </c>
      <c r="Y16" s="2" t="s">
        <v>344</v>
      </c>
      <c r="Z16" s="2" t="n">
        <v>28959</v>
      </c>
      <c r="AA16" s="2" t="n">
        <v>20.224</v>
      </c>
      <c r="AB16" s="2" t="n">
        <f aca="false">100*(Z16-$O16)/$O16</f>
        <v>0.00983728794208049</v>
      </c>
      <c r="AD16" s="2" t="n">
        <f aca="false">100*(Z16-U16)/U16</f>
        <v>0</v>
      </c>
      <c r="AF16" s="2" t="s">
        <v>344</v>
      </c>
      <c r="AG16" s="2" t="n">
        <v>28959</v>
      </c>
      <c r="AH16" s="2" t="n">
        <v>20.4147</v>
      </c>
      <c r="AI16" s="2" t="n">
        <f aca="false">100*(AG16-$O16)/$O16</f>
        <v>0.00983728794208049</v>
      </c>
      <c r="AL16" s="2" t="s">
        <v>344</v>
      </c>
      <c r="AM16" s="2" t="n">
        <v>28959</v>
      </c>
      <c r="AN16" s="2" t="n">
        <v>11.2957</v>
      </c>
      <c r="AO16" s="2" t="n">
        <f aca="false">100*(AM16-$O16)/$O16</f>
        <v>0.00983728794208049</v>
      </c>
      <c r="AS16" s="2" t="s">
        <v>344</v>
      </c>
      <c r="AT16" s="2" t="n">
        <v>28959</v>
      </c>
      <c r="AU16" s="2" t="n">
        <v>10.2488</v>
      </c>
    </row>
    <row r="17" customFormat="false" ht="13.8" hidden="false" customHeight="false" outlineLevel="0" collapsed="false">
      <c r="A17" s="3" t="s">
        <v>33</v>
      </c>
      <c r="B17" s="2" t="n">
        <v>26878</v>
      </c>
      <c r="C17" s="2" t="n">
        <f aca="false">100*(B17-$O17)/$O17</f>
        <v>0.00830971642568944</v>
      </c>
      <c r="E17" s="3" t="s">
        <v>345</v>
      </c>
      <c r="F17" s="2" t="n">
        <v>26878</v>
      </c>
      <c r="G17" s="2" t="n">
        <v>17.4622</v>
      </c>
      <c r="H17" s="2" t="n">
        <f aca="false">100*(F17-$U17)/$U17</f>
        <v>0</v>
      </c>
      <c r="I17" s="6"/>
      <c r="J17" s="6" t="n">
        <f aca="false">100*(F17-U17)/U17</f>
        <v>0</v>
      </c>
      <c r="K17" s="6"/>
      <c r="M17" s="2" t="s">
        <v>345</v>
      </c>
      <c r="N17" s="2" t="n">
        <v>26878</v>
      </c>
      <c r="O17" s="2" t="n">
        <v>26875.7667</v>
      </c>
      <c r="P17" s="2" t="n">
        <v>14.2342</v>
      </c>
      <c r="Q17" s="2" t="n">
        <f aca="false">100*(N17-O17)/O17</f>
        <v>0.00830971642568944</v>
      </c>
      <c r="S17" s="2" t="s">
        <v>345</v>
      </c>
      <c r="T17" s="2" t="n">
        <v>26878</v>
      </c>
      <c r="U17" s="2" t="n">
        <v>26878</v>
      </c>
      <c r="V17" s="2" t="n">
        <v>38.8691</v>
      </c>
      <c r="W17" s="2" t="n">
        <f aca="false">100*(T17-U17)/U17</f>
        <v>0</v>
      </c>
      <c r="Y17" s="2" t="s">
        <v>345</v>
      </c>
      <c r="Z17" s="2" t="n">
        <v>26878</v>
      </c>
      <c r="AA17" s="2" t="n">
        <v>22.9504</v>
      </c>
      <c r="AB17" s="2" t="n">
        <f aca="false">100*(Z17-$O17)/$O17</f>
        <v>0.00830971642568944</v>
      </c>
      <c r="AD17" s="2" t="n">
        <f aca="false">100*(Z17-U17)/U17</f>
        <v>0</v>
      </c>
      <c r="AF17" s="2" t="s">
        <v>345</v>
      </c>
      <c r="AG17" s="2" t="n">
        <v>26878</v>
      </c>
      <c r="AH17" s="2" t="n">
        <v>22.7034</v>
      </c>
      <c r="AI17" s="2" t="n">
        <f aca="false">100*(AG17-$O17)/$O17</f>
        <v>0.00830971642568944</v>
      </c>
      <c r="AL17" s="2" t="s">
        <v>345</v>
      </c>
      <c r="AM17" s="2" t="n">
        <v>26878</v>
      </c>
      <c r="AN17" s="2" t="n">
        <v>12.3289</v>
      </c>
      <c r="AO17" s="2" t="n">
        <f aca="false">100*(AM17-$O17)/$O17</f>
        <v>0.00830971642568944</v>
      </c>
      <c r="AS17" s="2" t="s">
        <v>345</v>
      </c>
      <c r="AT17" s="2" t="n">
        <v>26878</v>
      </c>
      <c r="AU17" s="2" t="n">
        <v>10.6863</v>
      </c>
    </row>
    <row r="18" customFormat="false" ht="13.8" hidden="false" customHeight="false" outlineLevel="0" collapsed="false">
      <c r="A18" s="3" t="s">
        <v>35</v>
      </c>
      <c r="B18" s="2" t="n">
        <v>26820</v>
      </c>
      <c r="C18" s="2" t="n">
        <f aca="false">100*(B18-$O18)/$O18</f>
        <v>0.00755090568919337</v>
      </c>
      <c r="E18" s="3" t="s">
        <v>346</v>
      </c>
      <c r="F18" s="2" t="n">
        <v>26820</v>
      </c>
      <c r="G18" s="2" t="n">
        <v>9.6207</v>
      </c>
      <c r="H18" s="2" t="n">
        <f aca="false">100*(F18-$U18)/$U18</f>
        <v>0</v>
      </c>
      <c r="I18" s="6"/>
      <c r="J18" s="6" t="n">
        <f aca="false">100*(F18-U18)/U18</f>
        <v>0</v>
      </c>
      <c r="K18" s="6"/>
      <c r="M18" s="2" t="s">
        <v>346</v>
      </c>
      <c r="N18" s="2" t="n">
        <v>26820</v>
      </c>
      <c r="O18" s="2" t="n">
        <v>26817.975</v>
      </c>
      <c r="P18" s="2" t="n">
        <v>7.7043</v>
      </c>
      <c r="Q18" s="2" t="n">
        <f aca="false">100*(N18-O18)/O18</f>
        <v>0.00755090568919337</v>
      </c>
      <c r="S18" s="2" t="s">
        <v>346</v>
      </c>
      <c r="T18" s="2" t="n">
        <v>26820</v>
      </c>
      <c r="U18" s="2" t="n">
        <v>26820</v>
      </c>
      <c r="V18" s="2" t="n">
        <v>48.495</v>
      </c>
      <c r="W18" s="2" t="n">
        <f aca="false">100*(T18-U18)/U18</f>
        <v>0</v>
      </c>
      <c r="Y18" s="2" t="s">
        <v>346</v>
      </c>
      <c r="Z18" s="2" t="n">
        <v>26820</v>
      </c>
      <c r="AA18" s="2" t="n">
        <v>13.4891</v>
      </c>
      <c r="AB18" s="2" t="n">
        <f aca="false">100*(Z18-$O18)/$O18</f>
        <v>0.00755090568919337</v>
      </c>
      <c r="AD18" s="2" t="n">
        <f aca="false">100*(Z18-U18)/U18</f>
        <v>0</v>
      </c>
      <c r="AF18" s="2" t="s">
        <v>346</v>
      </c>
      <c r="AG18" s="2" t="n">
        <v>26820</v>
      </c>
      <c r="AH18" s="2" t="n">
        <v>21.8781</v>
      </c>
      <c r="AI18" s="2" t="n">
        <f aca="false">100*(AG18-$O18)/$O18</f>
        <v>0.00755090568919337</v>
      </c>
      <c r="AL18" s="2" t="s">
        <v>346</v>
      </c>
      <c r="AM18" s="2" t="n">
        <v>26820</v>
      </c>
      <c r="AN18" s="2" t="n">
        <v>10.3016</v>
      </c>
      <c r="AO18" s="2" t="n">
        <f aca="false">100*(AM18-$O18)/$O18</f>
        <v>0.00755090568919337</v>
      </c>
      <c r="AS18" s="2" t="s">
        <v>346</v>
      </c>
      <c r="AT18" s="2" t="n">
        <v>26820</v>
      </c>
      <c r="AU18" s="2" t="n">
        <v>8.0628</v>
      </c>
    </row>
    <row r="19" customFormat="false" ht="13.8" hidden="false" customHeight="false" outlineLevel="0" collapsed="false">
      <c r="A19" s="3" t="s">
        <v>37</v>
      </c>
      <c r="B19" s="2" t="n">
        <v>29306</v>
      </c>
      <c r="C19" s="2" t="n">
        <f aca="false">100*(B19-$O19)/$O19</f>
        <v>0.00936994905715809</v>
      </c>
      <c r="E19" s="3" t="s">
        <v>347</v>
      </c>
      <c r="F19" s="2" t="n">
        <v>29306</v>
      </c>
      <c r="G19" s="2" t="n">
        <v>20.0077</v>
      </c>
      <c r="H19" s="2" t="n">
        <f aca="false">100*(F19-$U19)/$U19</f>
        <v>0</v>
      </c>
      <c r="I19" s="6"/>
      <c r="J19" s="6" t="n">
        <f aca="false">100*(F19-U19)/U19</f>
        <v>0</v>
      </c>
      <c r="K19" s="6"/>
      <c r="M19" s="2" t="s">
        <v>347</v>
      </c>
      <c r="N19" s="2" t="n">
        <v>29306</v>
      </c>
      <c r="O19" s="2" t="n">
        <v>29303.2543</v>
      </c>
      <c r="P19" s="2" t="n">
        <v>10.674</v>
      </c>
      <c r="Q19" s="2" t="n">
        <f aca="false">100*(N19-O19)/O19</f>
        <v>0.00936994905715809</v>
      </c>
      <c r="S19" s="2" t="s">
        <v>347</v>
      </c>
      <c r="T19" s="2" t="n">
        <v>29306</v>
      </c>
      <c r="U19" s="2" t="n">
        <v>29306</v>
      </c>
      <c r="V19" s="2" t="n">
        <v>96.5982</v>
      </c>
      <c r="W19" s="2" t="n">
        <f aca="false">100*(T19-U19)/U19</f>
        <v>0</v>
      </c>
      <c r="Y19" s="2" t="s">
        <v>347</v>
      </c>
      <c r="Z19" s="2" t="n">
        <v>29306</v>
      </c>
      <c r="AA19" s="2" t="n">
        <v>19.8877</v>
      </c>
      <c r="AB19" s="2" t="n">
        <f aca="false">100*(Z19-$O19)/$O19</f>
        <v>0.00936994905715809</v>
      </c>
      <c r="AD19" s="2" t="n">
        <f aca="false">100*(Z19-U19)/U19</f>
        <v>0</v>
      </c>
      <c r="AF19" s="2" t="s">
        <v>347</v>
      </c>
      <c r="AG19" s="2" t="n">
        <v>29306</v>
      </c>
      <c r="AH19" s="2" t="n">
        <v>29.9207</v>
      </c>
      <c r="AI19" s="2" t="n">
        <f aca="false">100*(AG19-$O19)/$O19</f>
        <v>0.00936994905715809</v>
      </c>
      <c r="AL19" s="2" t="s">
        <v>347</v>
      </c>
      <c r="AM19" s="2" t="n">
        <v>29306</v>
      </c>
      <c r="AN19" s="2" t="n">
        <v>12.6139</v>
      </c>
      <c r="AO19" s="2" t="n">
        <f aca="false">100*(AM19-$O19)/$O19</f>
        <v>0.00936994905715809</v>
      </c>
      <c r="AS19" s="2" t="s">
        <v>347</v>
      </c>
      <c r="AT19" s="2" t="n">
        <v>29306</v>
      </c>
      <c r="AU19" s="2" t="n">
        <v>10.4866</v>
      </c>
    </row>
    <row r="20" customFormat="false" ht="13.8" hidden="false" customHeight="false" outlineLevel="0" collapsed="false">
      <c r="A20" s="3" t="s">
        <v>39</v>
      </c>
      <c r="B20" s="2" t="n">
        <v>28875</v>
      </c>
      <c r="C20" s="2" t="n">
        <f aca="false">100*(B20-$O20)/$O20</f>
        <v>0.00996705392869894</v>
      </c>
      <c r="E20" s="3" t="s">
        <v>348</v>
      </c>
      <c r="F20" s="2" t="n">
        <v>28881</v>
      </c>
      <c r="G20" s="2" t="n">
        <v>22.7364</v>
      </c>
      <c r="H20" s="2" t="n">
        <f aca="false">100*(F20-$U20)/$U20</f>
        <v>0.0207792207792208</v>
      </c>
      <c r="I20" s="6"/>
      <c r="J20" s="6" t="n">
        <f aca="false">100*(F20-U20)/U20</f>
        <v>0.0207792207792208</v>
      </c>
      <c r="K20" s="6"/>
      <c r="M20" s="2" t="s">
        <v>348</v>
      </c>
      <c r="N20" s="2" t="n">
        <v>28875</v>
      </c>
      <c r="O20" s="2" t="n">
        <v>28872.1223</v>
      </c>
      <c r="P20" s="2" t="n">
        <v>16.4686</v>
      </c>
      <c r="Q20" s="2" t="n">
        <f aca="false">100*(N20-O20)/O20</f>
        <v>0.00996705392869894</v>
      </c>
      <c r="S20" s="2" t="s">
        <v>348</v>
      </c>
      <c r="T20" s="2" t="n">
        <v>28875</v>
      </c>
      <c r="U20" s="2" t="n">
        <v>28875</v>
      </c>
      <c r="V20" s="2" t="n">
        <v>70.1946</v>
      </c>
      <c r="W20" s="2" t="n">
        <f aca="false">100*(T20-U20)/U20</f>
        <v>0</v>
      </c>
      <c r="Y20" s="2" t="s">
        <v>348</v>
      </c>
      <c r="Z20" s="2" t="n">
        <v>28881</v>
      </c>
      <c r="AA20" s="2" t="n">
        <v>24.316</v>
      </c>
      <c r="AB20" s="2" t="n">
        <f aca="false">100*(Z20-$O20)/$O20</f>
        <v>0.0307483457840607</v>
      </c>
      <c r="AD20" s="2" t="n">
        <f aca="false">100*(Z20-U20)/U20</f>
        <v>0.0207792207792208</v>
      </c>
      <c r="AF20" s="2" t="s">
        <v>348</v>
      </c>
      <c r="AG20" s="2" t="n">
        <v>28875</v>
      </c>
      <c r="AH20" s="2" t="n">
        <v>25.4262</v>
      </c>
      <c r="AI20" s="2" t="n">
        <f aca="false">100*(AG20-$O20)/$O20</f>
        <v>0.00996705392869894</v>
      </c>
      <c r="AL20" s="2" t="s">
        <v>348</v>
      </c>
      <c r="AM20" s="2" t="n">
        <v>28875</v>
      </c>
      <c r="AN20" s="2" t="n">
        <v>15.3204</v>
      </c>
      <c r="AO20" s="2" t="n">
        <f aca="false">100*(AM20-$O20)/$O20</f>
        <v>0.00996705392869894</v>
      </c>
      <c r="AS20" s="2" t="s">
        <v>348</v>
      </c>
      <c r="AT20" s="2" t="n">
        <v>28881</v>
      </c>
      <c r="AU20" s="2" t="n">
        <v>13.703</v>
      </c>
    </row>
    <row r="21" customFormat="false" ht="13.8" hidden="false" customHeight="false" outlineLevel="0" collapsed="false">
      <c r="A21" s="3" t="s">
        <v>41</v>
      </c>
      <c r="B21" s="2" t="n">
        <v>28184</v>
      </c>
      <c r="C21" s="2" t="n">
        <f aca="false">100*(B21-$O21)/$O21</f>
        <v>0.00979942740912917</v>
      </c>
      <c r="E21" s="3" t="s">
        <v>349</v>
      </c>
      <c r="F21" s="2" t="n">
        <v>28185</v>
      </c>
      <c r="G21" s="2" t="n">
        <v>11.7732</v>
      </c>
      <c r="H21" s="2" t="n">
        <f aca="false">100*(F21-$U21)/$U21</f>
        <v>0.00354811240420097</v>
      </c>
      <c r="I21" s="6" t="n">
        <f aca="false">AVERAGE(H12:H21)</f>
        <v>0.00243273331834217</v>
      </c>
      <c r="J21" s="6" t="n">
        <f aca="false">100*(F21-U21)/U21</f>
        <v>0.00354811240420097</v>
      </c>
      <c r="K21" s="6" t="n">
        <f aca="false">AVERAGE(J12:J21)</f>
        <v>0.00243273331834217</v>
      </c>
      <c r="M21" s="2" t="s">
        <v>349</v>
      </c>
      <c r="N21" s="2" t="n">
        <v>28184</v>
      </c>
      <c r="O21" s="2" t="n">
        <v>28181.2384</v>
      </c>
      <c r="P21" s="2" t="n">
        <v>6.2992</v>
      </c>
      <c r="Q21" s="2" t="n">
        <f aca="false">100*(N21-O21)/O21</f>
        <v>0.00979942740912917</v>
      </c>
      <c r="R21" s="7" t="n">
        <f aca="false">AVERAGE(Q12:Q21)</f>
        <v>0.00943099680350194</v>
      </c>
      <c r="S21" s="2" t="s">
        <v>349</v>
      </c>
      <c r="T21" s="2" t="n">
        <v>28184</v>
      </c>
      <c r="U21" s="2" t="n">
        <v>28184</v>
      </c>
      <c r="V21" s="2" t="n">
        <v>25.3711</v>
      </c>
      <c r="W21" s="2" t="n">
        <f aca="false">100*(T21-U21)/U21</f>
        <v>0</v>
      </c>
      <c r="X21" s="7" t="n">
        <f aca="false">AVERAGE(W12:W21)</f>
        <v>0</v>
      </c>
      <c r="Y21" s="2" t="s">
        <v>349</v>
      </c>
      <c r="Z21" s="2" t="n">
        <v>28185</v>
      </c>
      <c r="AA21" s="2" t="n">
        <v>21.5936</v>
      </c>
      <c r="AB21" s="2" t="n">
        <f aca="false">100*(Z21-O21)/O21</f>
        <v>0.0133478875080296</v>
      </c>
      <c r="AC21" s="6" t="n">
        <f aca="false">AVERAGE(AB12:AB21)</f>
        <v>0.011174343541294</v>
      </c>
      <c r="AD21" s="2" t="n">
        <f aca="false">100*(Z21-U21)/U21</f>
        <v>0.00354811240420097</v>
      </c>
      <c r="AE21" s="6" t="n">
        <f aca="false">AVERAGE(AD12:AD21)</f>
        <v>0.00243273331834217</v>
      </c>
      <c r="AF21" s="2" t="s">
        <v>349</v>
      </c>
      <c r="AG21" s="2" t="n">
        <v>28185</v>
      </c>
      <c r="AH21" s="2" t="n">
        <v>25.5786</v>
      </c>
      <c r="AI21" s="2" t="n">
        <f aca="false">100*(AG21-$O21)/$O21</f>
        <v>0.0133478875080296</v>
      </c>
      <c r="AJ21" s="6" t="n">
        <f aca="false">AVERAGE(AI12:AI21)</f>
        <v>0.00909621435575782</v>
      </c>
      <c r="AL21" s="2" t="s">
        <v>349</v>
      </c>
      <c r="AM21" s="2" t="n">
        <v>28185</v>
      </c>
      <c r="AN21" s="2" t="n">
        <v>14.7523</v>
      </c>
      <c r="AO21" s="2" t="n">
        <f aca="false">100*(AM21-$O21)/$O21</f>
        <v>0.0133478875080296</v>
      </c>
      <c r="AP21" s="6" t="n">
        <f aca="false">AVERAGE(AO12:AO21)</f>
        <v>0.00909621435575782</v>
      </c>
      <c r="AS21" s="2" t="s">
        <v>349</v>
      </c>
      <c r="AT21" s="2" t="n">
        <v>28185</v>
      </c>
      <c r="AU21" s="2" t="n">
        <v>11.419</v>
      </c>
    </row>
    <row r="22" customFormat="false" ht="13.8" hidden="false" customHeight="false" outlineLevel="0" collapsed="false">
      <c r="A22" s="3" t="s">
        <v>43</v>
      </c>
      <c r="B22" s="2" t="n">
        <v>46255</v>
      </c>
      <c r="C22" s="2" t="n">
        <f aca="false">100*(B22-$O22)/$O22</f>
        <v>0.0100003513917518</v>
      </c>
      <c r="E22" s="3" t="s">
        <v>350</v>
      </c>
      <c r="F22" s="2" t="n">
        <v>46337</v>
      </c>
      <c r="G22" s="2" t="n">
        <v>303.7057</v>
      </c>
      <c r="H22" s="2" t="n">
        <f aca="false">100*(F22-$U22)/$U22</f>
        <v>0.177278132093828</v>
      </c>
      <c r="I22" s="6"/>
      <c r="J22" s="6" t="n">
        <f aca="false">100*(F22-U22)/U22</f>
        <v>0.177278132093828</v>
      </c>
      <c r="K22" s="6"/>
      <c r="M22" s="2" t="s">
        <v>350</v>
      </c>
      <c r="N22" s="2" t="n">
        <v>46255</v>
      </c>
      <c r="O22" s="2" t="n">
        <v>46250.3748</v>
      </c>
      <c r="P22" s="2" t="n">
        <v>431.5341</v>
      </c>
      <c r="Q22" s="2" t="n">
        <f aca="false">100*(N22-O22)/O22</f>
        <v>0.0100003513917518</v>
      </c>
      <c r="S22" s="2" t="s">
        <v>350</v>
      </c>
      <c r="T22" s="2" t="n">
        <v>46255</v>
      </c>
      <c r="U22" s="2" t="n">
        <v>46255</v>
      </c>
      <c r="V22" s="2" t="n">
        <v>318.8528</v>
      </c>
      <c r="W22" s="2" t="n">
        <f aca="false">100*(T22-U22)/U22</f>
        <v>0</v>
      </c>
      <c r="Y22" s="2" t="s">
        <v>350</v>
      </c>
      <c r="Z22" s="2" t="n">
        <v>46255</v>
      </c>
      <c r="AA22" s="2" t="n">
        <v>200.0667</v>
      </c>
      <c r="AB22" s="2" t="n">
        <f aca="false">100*(Z22-O22)/O22</f>
        <v>0.0100003513917518</v>
      </c>
      <c r="AD22" s="2" t="n">
        <f aca="false">100*(Z22-U22)/U22</f>
        <v>0</v>
      </c>
      <c r="AF22" s="2" t="s">
        <v>350</v>
      </c>
      <c r="AG22" s="2" t="n">
        <v>46255</v>
      </c>
      <c r="AH22" s="2" t="n">
        <v>576.0322</v>
      </c>
      <c r="AI22" s="2" t="n">
        <f aca="false">100*(AG22-$O22)/$O22</f>
        <v>0.0100003513917518</v>
      </c>
      <c r="AL22" s="2" t="s">
        <v>350</v>
      </c>
      <c r="AM22" s="2" t="n">
        <v>46255</v>
      </c>
      <c r="AN22" s="2" t="n">
        <v>224.9353</v>
      </c>
      <c r="AO22" s="2" t="n">
        <f aca="false">100*(AM22-$O22)/$O22</f>
        <v>0.0100003513917518</v>
      </c>
    </row>
    <row r="23" customFormat="false" ht="13.8" hidden="false" customHeight="false" outlineLevel="0" collapsed="false">
      <c r="A23" s="3" t="s">
        <v>45</v>
      </c>
      <c r="B23" s="2" t="n">
        <v>42800</v>
      </c>
      <c r="C23" s="2" t="n">
        <f aca="false">100*(B23-$O23)/$O23</f>
        <v>0.00993813710025873</v>
      </c>
      <c r="E23" s="3" t="s">
        <v>351</v>
      </c>
      <c r="F23" s="2" t="n">
        <v>42800</v>
      </c>
      <c r="G23" s="2" t="n">
        <v>249.1466</v>
      </c>
      <c r="H23" s="2" t="n">
        <f aca="false">100*(F23-$U23)/$U23</f>
        <v>0</v>
      </c>
      <c r="I23" s="6"/>
      <c r="J23" s="6" t="n">
        <f aca="false">100*(F23-U23)/U23</f>
        <v>0</v>
      </c>
      <c r="K23" s="6"/>
      <c r="M23" s="2" t="s">
        <v>351</v>
      </c>
      <c r="N23" s="2" t="n">
        <v>42800</v>
      </c>
      <c r="O23" s="2" t="n">
        <v>42795.7469</v>
      </c>
      <c r="P23" s="2" t="n">
        <v>211.1078</v>
      </c>
      <c r="Q23" s="2" t="n">
        <f aca="false">100*(N23-O23)/O23</f>
        <v>0.00993813710025873</v>
      </c>
      <c r="S23" s="2" t="s">
        <v>351</v>
      </c>
      <c r="T23" s="2" t="n">
        <v>42800</v>
      </c>
      <c r="U23" s="2" t="n">
        <v>42800</v>
      </c>
      <c r="V23" s="2" t="n">
        <v>304.9865</v>
      </c>
      <c r="W23" s="2" t="n">
        <f aca="false">100*(T23-U23)/U23</f>
        <v>0</v>
      </c>
      <c r="Y23" s="2" t="s">
        <v>351</v>
      </c>
      <c r="Z23" s="2" t="n">
        <v>42897</v>
      </c>
      <c r="AA23" s="2" t="n">
        <v>182.8855</v>
      </c>
      <c r="AB23" s="2" t="n">
        <f aca="false">100*(Z23-O23)/O23</f>
        <v>0.236596174467051</v>
      </c>
      <c r="AD23" s="2" t="n">
        <f aca="false">100*(Z23-U23)/U23</f>
        <v>0.226635514018692</v>
      </c>
      <c r="AF23" s="2" t="s">
        <v>351</v>
      </c>
      <c r="AG23" s="2" t="n">
        <v>42800</v>
      </c>
      <c r="AH23" s="2" t="n">
        <v>319.2486</v>
      </c>
      <c r="AI23" s="2" t="n">
        <f aca="false">100*(AG23-$O23)/$O23</f>
        <v>0.00993813710025873</v>
      </c>
      <c r="AL23" s="2" t="s">
        <v>351</v>
      </c>
      <c r="AM23" s="2" t="n">
        <v>42827</v>
      </c>
      <c r="AN23" s="2" t="n">
        <v>229.0228</v>
      </c>
      <c r="AO23" s="2" t="n">
        <f aca="false">100*(AM23-$O23)/$O23</f>
        <v>0.0730285186353453</v>
      </c>
    </row>
    <row r="24" customFormat="false" ht="13.8" hidden="false" customHeight="false" outlineLevel="0" collapsed="false">
      <c r="A24" s="3" t="s">
        <v>47</v>
      </c>
      <c r="B24" s="2" t="n">
        <v>45314</v>
      </c>
      <c r="C24" s="2" t="n">
        <f aca="false">100*(B24-$O24)/$O24</f>
        <v>0.127087865165491</v>
      </c>
      <c r="E24" s="3" t="s">
        <v>352</v>
      </c>
      <c r="F24" s="2" t="n">
        <v>45261</v>
      </c>
      <c r="G24" s="2" t="n">
        <v>260.7944</v>
      </c>
      <c r="H24" s="2" t="n">
        <f aca="false">100*(F24-$U24)/$U24</f>
        <v>0</v>
      </c>
      <c r="I24" s="6"/>
      <c r="J24" s="6" t="n">
        <f aca="false">100*(F24-U24)/U24</f>
        <v>0</v>
      </c>
      <c r="K24" s="6"/>
      <c r="M24" s="2" t="s">
        <v>352</v>
      </c>
      <c r="N24" s="2" t="n">
        <v>45261</v>
      </c>
      <c r="O24" s="2" t="n">
        <v>45256.4845</v>
      </c>
      <c r="P24" s="2" t="n">
        <v>383.8368</v>
      </c>
      <c r="Q24" s="2" t="n">
        <f aca="false">100*(N24-O24)/O24</f>
        <v>0.00997757569967976</v>
      </c>
      <c r="S24" s="2" t="s">
        <v>352</v>
      </c>
      <c r="T24" s="2" t="n">
        <v>45261</v>
      </c>
      <c r="U24" s="2" t="n">
        <v>45261</v>
      </c>
      <c r="V24" s="2" t="n">
        <v>402.027</v>
      </c>
      <c r="W24" s="2" t="n">
        <f aca="false">100*(T24-U24)/U24</f>
        <v>0</v>
      </c>
      <c r="Y24" s="2" t="s">
        <v>352</v>
      </c>
      <c r="Z24" s="2" t="n">
        <v>45310</v>
      </c>
      <c r="AA24" s="2" t="n">
        <v>323.8813</v>
      </c>
      <c r="AB24" s="2" t="n">
        <f aca="false">100*(Z24-O24)/O24</f>
        <v>0.118249352752977</v>
      </c>
      <c r="AD24" s="2" t="n">
        <f aca="false">100*(Z24-U24)/U24</f>
        <v>0.10826097523254</v>
      </c>
      <c r="AF24" s="2" t="s">
        <v>352</v>
      </c>
      <c r="AG24" s="2" t="n">
        <v>45310</v>
      </c>
      <c r="AH24" s="2" t="n">
        <v>594.3546</v>
      </c>
      <c r="AI24" s="2" t="n">
        <f aca="false">100*(AG24-$O24)/$O24</f>
        <v>0.118249352752977</v>
      </c>
      <c r="AL24" s="2" t="s">
        <v>352</v>
      </c>
      <c r="AM24" s="2" t="n">
        <v>45310</v>
      </c>
      <c r="AN24" s="2" t="n">
        <v>244.5681</v>
      </c>
      <c r="AO24" s="2" t="n">
        <f aca="false">100*(AM24-$O24)/$O24</f>
        <v>0.118249352752977</v>
      </c>
    </row>
    <row r="25" customFormat="false" ht="13.8" hidden="false" customHeight="false" outlineLevel="0" collapsed="false">
      <c r="A25" s="3" t="s">
        <v>49</v>
      </c>
      <c r="B25" s="2" t="n">
        <v>45779</v>
      </c>
      <c r="C25" s="2" t="n">
        <f aca="false">100*(B25-$O25)/$O25</f>
        <v>0.00999269769104411</v>
      </c>
      <c r="E25" s="3" t="s">
        <v>353</v>
      </c>
      <c r="F25" s="2" t="n">
        <v>45789</v>
      </c>
      <c r="G25" s="2" t="n">
        <v>273.4001</v>
      </c>
      <c r="H25" s="2" t="n">
        <f aca="false">100*(F25-$U25)/$U25</f>
        <v>0.0218440769785273</v>
      </c>
      <c r="I25" s="6"/>
      <c r="J25" s="6" t="n">
        <f aca="false">100*(F25-U25)/U25</f>
        <v>0.0218440769785273</v>
      </c>
      <c r="K25" s="6"/>
      <c r="M25" s="2" t="s">
        <v>353</v>
      </c>
      <c r="N25" s="2" t="n">
        <v>45779</v>
      </c>
      <c r="O25" s="2" t="n">
        <v>45774.4259</v>
      </c>
      <c r="P25" s="2" t="n">
        <v>183.323</v>
      </c>
      <c r="Q25" s="2" t="n">
        <f aca="false">100*(N25-O25)/O25</f>
        <v>0.00999269769104411</v>
      </c>
      <c r="S25" s="2" t="s">
        <v>353</v>
      </c>
      <c r="T25" s="2" t="n">
        <v>45779</v>
      </c>
      <c r="U25" s="2" t="n">
        <v>45779</v>
      </c>
      <c r="V25" s="2" t="n">
        <v>278.4786</v>
      </c>
      <c r="W25" s="2" t="n">
        <f aca="false">100*(T25-U25)/U25</f>
        <v>0</v>
      </c>
      <c r="Y25" s="2" t="s">
        <v>353</v>
      </c>
      <c r="Z25" s="2" t="n">
        <v>45789</v>
      </c>
      <c r="AA25" s="2" t="n">
        <v>164.8774</v>
      </c>
      <c r="AB25" s="2" t="n">
        <f aca="false">100*(Z25-O25)/O25</f>
        <v>0.0318389574821472</v>
      </c>
      <c r="AD25" s="2" t="n">
        <f aca="false">100*(Z25-U25)/U25</f>
        <v>0.0218440769785273</v>
      </c>
      <c r="AF25" s="2" t="s">
        <v>353</v>
      </c>
      <c r="AG25" s="2" t="n">
        <v>45789</v>
      </c>
      <c r="AH25" s="2" t="n">
        <v>526.8619</v>
      </c>
      <c r="AI25" s="2" t="n">
        <f aca="false">100*(AG25-$O25)/$O25</f>
        <v>0.0318389574821472</v>
      </c>
      <c r="AL25" s="2" t="s">
        <v>353</v>
      </c>
      <c r="AM25" s="2" t="n">
        <v>45789</v>
      </c>
      <c r="AN25" s="2" t="n">
        <v>177.8359</v>
      </c>
      <c r="AO25" s="2" t="n">
        <f aca="false">100*(AM25-$O25)/$O25</f>
        <v>0.0318389574821472</v>
      </c>
    </row>
    <row r="26" customFormat="false" ht="13.8" hidden="false" customHeight="false" outlineLevel="0" collapsed="false">
      <c r="A26" s="3" t="s">
        <v>51</v>
      </c>
      <c r="B26" s="2" t="n">
        <v>48242</v>
      </c>
      <c r="C26" s="2" t="n">
        <f aca="false">100*(B26-$O26)/$O26</f>
        <v>0.0100003781108634</v>
      </c>
      <c r="E26" s="3" t="s">
        <v>354</v>
      </c>
      <c r="F26" s="2" t="n">
        <v>48242</v>
      </c>
      <c r="G26" s="2" t="n">
        <v>279.8508</v>
      </c>
      <c r="H26" s="2" t="n">
        <f aca="false">100*(F26-$U26)/$U26</f>
        <v>0</v>
      </c>
      <c r="I26" s="6"/>
      <c r="J26" s="6" t="n">
        <f aca="false">100*(F26-U26)/U26</f>
        <v>0</v>
      </c>
      <c r="K26" s="6"/>
      <c r="M26" s="2" t="s">
        <v>354</v>
      </c>
      <c r="N26" s="2" t="n">
        <v>48242</v>
      </c>
      <c r="O26" s="2" t="n">
        <v>48237.1761</v>
      </c>
      <c r="P26" s="2" t="n">
        <v>559.131</v>
      </c>
      <c r="Q26" s="2" t="n">
        <f aca="false">100*(N26-O26)/O26</f>
        <v>0.0100003781108634</v>
      </c>
      <c r="S26" s="2" t="s">
        <v>354</v>
      </c>
      <c r="T26" s="2" t="n">
        <v>48242</v>
      </c>
      <c r="U26" s="2" t="n">
        <v>48242</v>
      </c>
      <c r="V26" s="2" t="n">
        <v>442.1484</v>
      </c>
      <c r="W26" s="2" t="n">
        <f aca="false">100*(T26-U26)/U26</f>
        <v>0</v>
      </c>
      <c r="Y26" s="2" t="s">
        <v>354</v>
      </c>
      <c r="Z26" s="2" t="n">
        <v>48340</v>
      </c>
      <c r="AA26" s="2" t="n">
        <v>326.8933</v>
      </c>
      <c r="AB26" s="2" t="n">
        <f aca="false">100*(Z26-O26)/O26</f>
        <v>0.213163183074482</v>
      </c>
      <c r="AD26" s="2" t="n">
        <f aca="false">100*(Z26-U26)/U26</f>
        <v>0.20314248994652</v>
      </c>
      <c r="AF26" s="2" t="s">
        <v>354</v>
      </c>
      <c r="AG26" s="2" t="n">
        <v>48295</v>
      </c>
      <c r="AH26" s="2" t="n">
        <v>606.2502</v>
      </c>
      <c r="AI26" s="2" t="n">
        <f aca="false">100*(AG26-$O26)/$O26</f>
        <v>0.119874139978943</v>
      </c>
      <c r="AL26" s="2" t="s">
        <v>354</v>
      </c>
      <c r="AM26" s="2" t="n">
        <v>48295</v>
      </c>
      <c r="AN26" s="2" t="n">
        <v>255.8803</v>
      </c>
      <c r="AO26" s="2" t="n">
        <f aca="false">100*(AM26-$O26)/$O26</f>
        <v>0.119874139978943</v>
      </c>
    </row>
    <row r="27" customFormat="false" ht="13.8" hidden="false" customHeight="false" outlineLevel="0" collapsed="false">
      <c r="A27" s="3" t="s">
        <v>53</v>
      </c>
      <c r="B27" s="2" t="n">
        <v>44102</v>
      </c>
      <c r="C27" s="2" t="n">
        <f aca="false">100*(B27-$O27)/$O27</f>
        <v>0.00997446539128204</v>
      </c>
      <c r="E27" s="3" t="s">
        <v>355</v>
      </c>
      <c r="F27" s="2" t="n">
        <v>44162</v>
      </c>
      <c r="G27" s="2" t="n">
        <v>314.7926</v>
      </c>
      <c r="H27" s="2" t="n">
        <f aca="false">100*(F27-$U27)/$U27</f>
        <v>0.136048251779965</v>
      </c>
      <c r="I27" s="6"/>
      <c r="J27" s="6" t="n">
        <f aca="false">100*(F27-U27)/U27</f>
        <v>0.136048251779965</v>
      </c>
      <c r="K27" s="6"/>
      <c r="M27" s="2" t="s">
        <v>355</v>
      </c>
      <c r="N27" s="2" t="n">
        <v>44102</v>
      </c>
      <c r="O27" s="2" t="n">
        <v>44097.6015</v>
      </c>
      <c r="P27" s="2" t="n">
        <v>530.0687</v>
      </c>
      <c r="Q27" s="2" t="n">
        <f aca="false">100*(N27-O27)/O27</f>
        <v>0.00997446539128204</v>
      </c>
      <c r="S27" s="2" t="s">
        <v>355</v>
      </c>
      <c r="T27" s="2" t="n">
        <v>44102</v>
      </c>
      <c r="U27" s="2" t="n">
        <v>44102</v>
      </c>
      <c r="V27" s="2" t="n">
        <v>600.7502</v>
      </c>
      <c r="W27" s="2" t="n">
        <f aca="false">100*(T27-U27)/U27</f>
        <v>0</v>
      </c>
      <c r="Y27" s="2" t="s">
        <v>355</v>
      </c>
      <c r="Z27" s="2" t="n">
        <v>44162</v>
      </c>
      <c r="AA27" s="2" t="n">
        <v>306.8663</v>
      </c>
      <c r="AB27" s="2" t="n">
        <f aca="false">100*(Z27-O27)/O27</f>
        <v>0.146036287257036</v>
      </c>
      <c r="AD27" s="2" t="n">
        <f aca="false">100*(Z27-U27)/U27</f>
        <v>0.136048251779965</v>
      </c>
      <c r="AF27" s="2" t="s">
        <v>355</v>
      </c>
      <c r="AG27" s="2" t="n">
        <v>44214</v>
      </c>
      <c r="AH27" s="2" t="n">
        <v>588.5868</v>
      </c>
      <c r="AI27" s="2" t="n">
        <f aca="false">100*(AG27-$O27)/$O27</f>
        <v>0.263956532874023</v>
      </c>
      <c r="AL27" s="2" t="s">
        <v>355</v>
      </c>
      <c r="AM27" s="2" t="n">
        <v>44214</v>
      </c>
      <c r="AN27" s="2" t="n">
        <v>240.4401</v>
      </c>
      <c r="AO27" s="2" t="n">
        <f aca="false">100*(AM27-$O27)/$O27</f>
        <v>0.263956532874023</v>
      </c>
    </row>
    <row r="28" customFormat="false" ht="13.8" hidden="false" customHeight="false" outlineLevel="0" collapsed="false">
      <c r="A28" s="3" t="s">
        <v>55</v>
      </c>
      <c r="B28" s="2" t="n">
        <v>46932</v>
      </c>
      <c r="C28" s="2" t="n">
        <f aca="false">100*(B28-$O28)/$O28</f>
        <v>0.00998714750626557</v>
      </c>
      <c r="E28" s="3" t="s">
        <v>356</v>
      </c>
      <c r="F28" s="2" t="n">
        <v>46932</v>
      </c>
      <c r="G28" s="2" t="n">
        <v>106.7029</v>
      </c>
      <c r="H28" s="2" t="n">
        <f aca="false">100*(F28-$U28)/$U28</f>
        <v>0</v>
      </c>
      <c r="I28" s="6"/>
      <c r="J28" s="6" t="n">
        <f aca="false">100*(F28-U28)/U28</f>
        <v>0</v>
      </c>
      <c r="K28" s="6"/>
      <c r="M28" s="2" t="s">
        <v>356</v>
      </c>
      <c r="N28" s="2" t="n">
        <v>46932</v>
      </c>
      <c r="O28" s="2" t="n">
        <v>46927.3133</v>
      </c>
      <c r="P28" s="2" t="n">
        <v>145.334</v>
      </c>
      <c r="Q28" s="2" t="n">
        <f aca="false">100*(N28-O28)/O28</f>
        <v>0.00998714750626557</v>
      </c>
      <c r="S28" s="2" t="s">
        <v>356</v>
      </c>
      <c r="T28" s="2" t="n">
        <v>46932</v>
      </c>
      <c r="U28" s="2" t="n">
        <v>46932</v>
      </c>
      <c r="V28" s="2" t="n">
        <v>301.9703</v>
      </c>
      <c r="W28" s="2" t="n">
        <f aca="false">100*(T28-U28)/U28</f>
        <v>0</v>
      </c>
      <c r="Y28" s="2" t="s">
        <v>356</v>
      </c>
      <c r="Z28" s="2" t="n">
        <v>46932</v>
      </c>
      <c r="AA28" s="2" t="n">
        <v>163.2649</v>
      </c>
      <c r="AB28" s="2" t="n">
        <f aca="false">100*(Z28-O28)/O28</f>
        <v>0.00998714750626557</v>
      </c>
      <c r="AD28" s="2" t="n">
        <f aca="false">100*(Z28-U28)/U28</f>
        <v>0</v>
      </c>
      <c r="AF28" s="2" t="s">
        <v>356</v>
      </c>
      <c r="AG28" s="2" t="n">
        <v>46932</v>
      </c>
      <c r="AH28" s="2" t="n">
        <v>249.0548</v>
      </c>
      <c r="AI28" s="2" t="n">
        <f aca="false">100*(AG28-$O28)/$O28</f>
        <v>0.00998714750626557</v>
      </c>
      <c r="AL28" s="2" t="s">
        <v>356</v>
      </c>
      <c r="AM28" s="2" t="n">
        <v>46932</v>
      </c>
      <c r="AN28" s="2" t="n">
        <v>159.4727</v>
      </c>
      <c r="AO28" s="2" t="n">
        <f aca="false">100*(AM28-$O28)/$O28</f>
        <v>0.00998714750626557</v>
      </c>
    </row>
    <row r="29" customFormat="false" ht="13.8" hidden="false" customHeight="false" outlineLevel="0" collapsed="false">
      <c r="A29" s="3" t="s">
        <v>57</v>
      </c>
      <c r="B29" s="2" t="n">
        <v>46932</v>
      </c>
      <c r="C29" s="2" t="n">
        <f aca="false">100*(B29-$O29)/$O29</f>
        <v>0.00999332789376712</v>
      </c>
      <c r="E29" s="3" t="s">
        <v>357</v>
      </c>
      <c r="F29" s="2" t="n">
        <v>46932</v>
      </c>
      <c r="G29" s="2" t="n">
        <v>124.4867</v>
      </c>
      <c r="H29" s="2" t="n">
        <f aca="false">100*(F29-$U29)/$U29</f>
        <v>0</v>
      </c>
      <c r="I29" s="6"/>
      <c r="J29" s="6" t="n">
        <f aca="false">100*(F29-U29)/U29</f>
        <v>0</v>
      </c>
      <c r="K29" s="6"/>
      <c r="M29" s="2" t="s">
        <v>357</v>
      </c>
      <c r="N29" s="2" t="n">
        <v>46932</v>
      </c>
      <c r="O29" s="2" t="n">
        <v>46927.3104</v>
      </c>
      <c r="P29" s="2" t="n">
        <v>170.5676</v>
      </c>
      <c r="Q29" s="2" t="n">
        <f aca="false">100*(N29-O29)/O29</f>
        <v>0.00999332789376712</v>
      </c>
      <c r="S29" s="2" t="s">
        <v>357</v>
      </c>
      <c r="T29" s="2" t="n">
        <v>46932</v>
      </c>
      <c r="U29" s="2" t="n">
        <v>46932</v>
      </c>
      <c r="V29" s="2" t="n">
        <v>227.953</v>
      </c>
      <c r="W29" s="2" t="n">
        <f aca="false">100*(T29-U29)/U29</f>
        <v>0</v>
      </c>
      <c r="Y29" s="2" t="s">
        <v>357</v>
      </c>
      <c r="Z29" s="2" t="n">
        <v>46932</v>
      </c>
      <c r="AA29" s="2" t="n">
        <v>276.7834</v>
      </c>
      <c r="AB29" s="2" t="n">
        <f aca="false">100*(Z29-O29)/O29</f>
        <v>0.00999332789376712</v>
      </c>
      <c r="AD29" s="2" t="n">
        <f aca="false">100*(Z29-U29)/U29</f>
        <v>0</v>
      </c>
      <c r="AF29" s="2" t="s">
        <v>357</v>
      </c>
      <c r="AG29" s="2" t="n">
        <v>46932</v>
      </c>
      <c r="AH29" s="2" t="n">
        <v>314.2293</v>
      </c>
      <c r="AI29" s="2" t="n">
        <f aca="false">100*(AG29-$O29)/$O29</f>
        <v>0.00999332789376712</v>
      </c>
      <c r="AL29" s="2" t="s">
        <v>357</v>
      </c>
      <c r="AM29" s="2" t="n">
        <v>46932</v>
      </c>
      <c r="AN29" s="2" t="n">
        <v>225.6226</v>
      </c>
      <c r="AO29" s="2" t="n">
        <f aca="false">100*(AM29-$O29)/$O29</f>
        <v>0.00999332789376712</v>
      </c>
    </row>
    <row r="30" customFormat="false" ht="13.8" hidden="false" customHeight="false" outlineLevel="0" collapsed="false">
      <c r="A30" s="3" t="s">
        <v>59</v>
      </c>
      <c r="B30" s="2" t="n">
        <v>47791</v>
      </c>
      <c r="C30" s="2" t="n">
        <f aca="false">100*(B30-$O30)/$O30</f>
        <v>0.00990158921887937</v>
      </c>
      <c r="E30" s="3" t="s">
        <v>358</v>
      </c>
      <c r="F30" s="2" t="n">
        <v>47805</v>
      </c>
      <c r="G30" s="2" t="n">
        <v>85.9489</v>
      </c>
      <c r="H30" s="2" t="n">
        <f aca="false">100*(F30-$U30)/$U30</f>
        <v>0.0292942185767195</v>
      </c>
      <c r="I30" s="6"/>
      <c r="J30" s="6" t="n">
        <f aca="false">100*(F30-U30)/U30</f>
        <v>0.0292942185767195</v>
      </c>
      <c r="K30" s="6"/>
      <c r="M30" s="2" t="s">
        <v>358</v>
      </c>
      <c r="N30" s="2" t="n">
        <v>47791</v>
      </c>
      <c r="O30" s="2" t="n">
        <v>47786.2684</v>
      </c>
      <c r="P30" s="2" t="n">
        <v>114.729</v>
      </c>
      <c r="Q30" s="2" t="n">
        <f aca="false">100*(N30-O30)/O30</f>
        <v>0.00990158921887937</v>
      </c>
      <c r="S30" s="2" t="s">
        <v>358</v>
      </c>
      <c r="T30" s="2" t="n">
        <v>47791</v>
      </c>
      <c r="U30" s="2" t="n">
        <v>47791</v>
      </c>
      <c r="V30" s="2" t="n">
        <v>297.6466</v>
      </c>
      <c r="W30" s="2" t="n">
        <f aca="false">100*(T30-U30)/U30</f>
        <v>0</v>
      </c>
      <c r="Y30" s="2" t="s">
        <v>358</v>
      </c>
      <c r="Z30" s="2" t="n">
        <v>47805</v>
      </c>
      <c r="AA30" s="2" t="n">
        <v>109.7864</v>
      </c>
      <c r="AB30" s="2" t="n">
        <f aca="false">100*(Z30-O30)/O30</f>
        <v>0.0391987083887872</v>
      </c>
      <c r="AD30" s="2" t="n">
        <f aca="false">100*(Z30-U30)/U30</f>
        <v>0.0292942185767195</v>
      </c>
      <c r="AF30" s="2" t="s">
        <v>358</v>
      </c>
      <c r="AG30" s="2" t="n">
        <v>47805</v>
      </c>
      <c r="AH30" s="2" t="n">
        <v>187.3731</v>
      </c>
      <c r="AI30" s="2" t="n">
        <f aca="false">100*(AG30-$O30)/$O30</f>
        <v>0.0391987083887872</v>
      </c>
      <c r="AL30" s="2" t="s">
        <v>358</v>
      </c>
      <c r="AM30" s="2" t="n">
        <v>47805</v>
      </c>
      <c r="AN30" s="2" t="n">
        <v>91.6103</v>
      </c>
      <c r="AO30" s="2" t="n">
        <f aca="false">100*(AM30-$O30)/$O30</f>
        <v>0.0391987083887872</v>
      </c>
    </row>
    <row r="31" customFormat="false" ht="13.8" hidden="false" customHeight="false" outlineLevel="0" collapsed="false">
      <c r="A31" s="3" t="s">
        <v>61</v>
      </c>
      <c r="B31" s="2" t="n">
        <v>46547</v>
      </c>
      <c r="C31" s="2" t="n">
        <f aca="false">100*(B31-$O31)/$O31</f>
        <v>0.00988840332134124</v>
      </c>
      <c r="E31" s="3" t="s">
        <v>359</v>
      </c>
      <c r="F31" s="2" t="n">
        <v>46547</v>
      </c>
      <c r="G31" s="2" t="n">
        <v>214.0576</v>
      </c>
      <c r="H31" s="2" t="n">
        <f aca="false">100*(F31-$U31)/$U31</f>
        <v>0</v>
      </c>
      <c r="I31" s="6" t="n">
        <f aca="false">AVERAGE(H22:H31)</f>
        <v>0.0364464679429039</v>
      </c>
      <c r="J31" s="6" t="n">
        <f aca="false">100*(F31-U31)/U31</f>
        <v>0</v>
      </c>
      <c r="K31" s="6" t="n">
        <f aca="false">AVERAGE(J22:J31)</f>
        <v>0.0364464679429039</v>
      </c>
      <c r="M31" s="2" t="s">
        <v>359</v>
      </c>
      <c r="N31" s="2" t="n">
        <v>46547</v>
      </c>
      <c r="O31" s="2" t="n">
        <v>46542.3977</v>
      </c>
      <c r="P31" s="2" t="n">
        <v>334.748</v>
      </c>
      <c r="Q31" s="2" t="n">
        <f aca="false">100*(N31-O31)/O31</f>
        <v>0.00988840332134124</v>
      </c>
      <c r="R31" s="7" t="n">
        <f aca="false">AVERAGE(Q22:Q31)</f>
        <v>0.00996540733251332</v>
      </c>
      <c r="S31" s="2" t="s">
        <v>359</v>
      </c>
      <c r="T31" s="2" t="n">
        <v>46547</v>
      </c>
      <c r="U31" s="2" t="n">
        <v>46547</v>
      </c>
      <c r="V31" s="2" t="n">
        <v>316.3006</v>
      </c>
      <c r="W31" s="2" t="n">
        <f aca="false">100*(T31-U31)/U31</f>
        <v>0</v>
      </c>
      <c r="X31" s="7" t="n">
        <f aca="false">AVERAGE(W22:W31)</f>
        <v>0</v>
      </c>
      <c r="Y31" s="2" t="s">
        <v>359</v>
      </c>
      <c r="Z31" s="2" t="n">
        <v>46547</v>
      </c>
      <c r="AA31" s="2" t="n">
        <v>250.1222</v>
      </c>
      <c r="AB31" s="2" t="n">
        <f aca="false">100*(Z31-O31)/O31</f>
        <v>0.00988840332134124</v>
      </c>
      <c r="AC31" s="6" t="n">
        <f aca="false">AVERAGE(AB22:AB31)</f>
        <v>0.0824951893535606</v>
      </c>
      <c r="AD31" s="2" t="n">
        <f aca="false">100*(Z31-U31)/U31</f>
        <v>0</v>
      </c>
      <c r="AE31" s="6" t="n">
        <f aca="false">AVERAGE(AD22:AD31)</f>
        <v>0.0725225526532963</v>
      </c>
      <c r="AF31" s="2" t="s">
        <v>359</v>
      </c>
      <c r="AG31" s="2" t="n">
        <v>46547</v>
      </c>
      <c r="AH31" s="2" t="n">
        <v>253.2594</v>
      </c>
      <c r="AI31" s="2" t="n">
        <f aca="false">100*(AG31-$O31)/$O31</f>
        <v>0.00988840332134124</v>
      </c>
      <c r="AJ31" s="6" t="n">
        <f aca="false">AVERAGE(AI22:AI31)</f>
        <v>0.0622925058690261</v>
      </c>
      <c r="AL31" s="2" t="s">
        <v>359</v>
      </c>
      <c r="AM31" s="2" t="n">
        <v>46547</v>
      </c>
      <c r="AN31" s="2" t="n">
        <v>174.0642</v>
      </c>
      <c r="AO31" s="2" t="n">
        <f aca="false">100*(AM31-$O31)/$O31</f>
        <v>0.00988840332134124</v>
      </c>
      <c r="AP31" s="6" t="n">
        <f aca="false">AVERAGE(AO22:AO31)</f>
        <v>0.0686015440225348</v>
      </c>
    </row>
    <row r="32" customFormat="false" ht="13.8" hidden="false" customHeight="false" outlineLevel="0" collapsed="false">
      <c r="A32" s="3" t="s">
        <v>63</v>
      </c>
      <c r="B32" s="2" t="n">
        <v>28201</v>
      </c>
      <c r="C32" s="2" t="n">
        <f aca="false">100*(B32-$O32)/$O32</f>
        <v>0.00897850188898083</v>
      </c>
      <c r="E32" s="3" t="s">
        <v>360</v>
      </c>
      <c r="F32" s="2" t="n">
        <v>28201</v>
      </c>
      <c r="G32" s="2" t="n">
        <v>38.6296</v>
      </c>
      <c r="H32" s="2" t="n">
        <f aca="false">100*(F32-$U32)/$U32</f>
        <v>0</v>
      </c>
      <c r="I32" s="6"/>
      <c r="J32" s="6" t="n">
        <f aca="false">100*(F32-U32)/U32</f>
        <v>0</v>
      </c>
      <c r="K32" s="6"/>
      <c r="M32" s="2" t="s">
        <v>360</v>
      </c>
      <c r="N32" s="2" t="n">
        <v>28201</v>
      </c>
      <c r="O32" s="2" t="n">
        <v>28198.4682</v>
      </c>
      <c r="P32" s="2" t="n">
        <v>35.1057</v>
      </c>
      <c r="Q32" s="2" t="n">
        <f aca="false">100*(N32-O32)/O32</f>
        <v>0.00897850188898083</v>
      </c>
      <c r="S32" s="2" t="s">
        <v>360</v>
      </c>
      <c r="T32" s="2" t="n">
        <v>28201</v>
      </c>
      <c r="U32" s="2" t="n">
        <v>28201</v>
      </c>
      <c r="V32" s="2" t="n">
        <v>60.1383</v>
      </c>
      <c r="W32" s="2" t="n">
        <f aca="false">100*(T32-U32)/U32</f>
        <v>0</v>
      </c>
      <c r="Y32" s="2" t="s">
        <v>360</v>
      </c>
      <c r="Z32" s="2" t="n">
        <v>28201</v>
      </c>
      <c r="AA32" s="2" t="n">
        <v>39.195</v>
      </c>
      <c r="AB32" s="2" t="n">
        <f aca="false">100*(Z32-O32)/O32</f>
        <v>0.00897850188898083</v>
      </c>
      <c r="AD32" s="2" t="n">
        <f aca="false">100*(Z32-U32)/U32</f>
        <v>0</v>
      </c>
      <c r="AF32" s="2" t="s">
        <v>360</v>
      </c>
      <c r="AG32" s="2" t="n">
        <v>28226</v>
      </c>
      <c r="AH32" s="2" t="n">
        <v>106.2967</v>
      </c>
      <c r="AI32" s="2" t="n">
        <f aca="false">100*(AG32-$O32)/$O32</f>
        <v>0.0976357999474619</v>
      </c>
      <c r="AL32" s="2" t="s">
        <v>360</v>
      </c>
      <c r="AM32" s="2" t="n">
        <v>28226</v>
      </c>
      <c r="AN32" s="2" t="n">
        <v>47.3691</v>
      </c>
      <c r="AO32" s="2" t="n">
        <f aca="false">100*(AM32-$O32)/$O32</f>
        <v>0.0976357999474619</v>
      </c>
    </row>
    <row r="33" customFormat="false" ht="13.8" hidden="false" customHeight="false" outlineLevel="0" collapsed="false">
      <c r="A33" s="3" t="s">
        <v>65</v>
      </c>
      <c r="B33" s="2" t="n">
        <v>26412</v>
      </c>
      <c r="C33" s="2" t="n">
        <f aca="false">100*(B33-$O33)/$O33</f>
        <v>0.00978135950355762</v>
      </c>
      <c r="E33" s="3" t="s">
        <v>361</v>
      </c>
      <c r="F33" s="2" t="n">
        <v>26412</v>
      </c>
      <c r="G33" s="2" t="n">
        <v>22.092</v>
      </c>
      <c r="H33" s="2" t="n">
        <f aca="false">100*(F33-$U33)/$U33</f>
        <v>0</v>
      </c>
      <c r="I33" s="6"/>
      <c r="J33" s="6" t="n">
        <f aca="false">100*(F33-U33)/U33</f>
        <v>0</v>
      </c>
      <c r="K33" s="6"/>
      <c r="M33" s="2" t="s">
        <v>361</v>
      </c>
      <c r="N33" s="2" t="n">
        <v>26412</v>
      </c>
      <c r="O33" s="2" t="n">
        <v>26409.4168</v>
      </c>
      <c r="P33" s="2" t="n">
        <v>9.7912</v>
      </c>
      <c r="Q33" s="2" t="n">
        <f aca="false">100*(N33-O33)/O33</f>
        <v>0.00978135950355762</v>
      </c>
      <c r="S33" s="2" t="s">
        <v>361</v>
      </c>
      <c r="T33" s="2" t="n">
        <v>26412</v>
      </c>
      <c r="U33" s="2" t="n">
        <v>26412</v>
      </c>
      <c r="V33" s="2" t="n">
        <v>38.7351</v>
      </c>
      <c r="W33" s="2" t="n">
        <f aca="false">100*(T33-U33)/U33</f>
        <v>0</v>
      </c>
      <c r="Y33" s="2" t="s">
        <v>361</v>
      </c>
      <c r="Z33" s="2" t="n">
        <v>26412</v>
      </c>
      <c r="AA33" s="2" t="n">
        <v>20.1319</v>
      </c>
      <c r="AB33" s="2" t="n">
        <f aca="false">100*(Z33-O33)/O33</f>
        <v>0.00978135950355762</v>
      </c>
      <c r="AD33" s="2" t="n">
        <f aca="false">100*(Z33-U33)/U33</f>
        <v>0</v>
      </c>
      <c r="AF33" s="2" t="s">
        <v>361</v>
      </c>
      <c r="AG33" s="2" t="n">
        <v>26412</v>
      </c>
      <c r="AH33" s="2" t="n">
        <v>29.8034</v>
      </c>
      <c r="AI33" s="2" t="n">
        <f aca="false">100*(AG33-$O33)/$O33</f>
        <v>0.00978135950355762</v>
      </c>
      <c r="AL33" s="2" t="s">
        <v>361</v>
      </c>
      <c r="AM33" s="2" t="n">
        <v>26412</v>
      </c>
      <c r="AN33" s="2" t="n">
        <v>17.5689</v>
      </c>
      <c r="AO33" s="2" t="n">
        <f aca="false">100*(AM33-$O33)/$O33</f>
        <v>0.00978135950355762</v>
      </c>
    </row>
    <row r="34" customFormat="false" ht="13.8" hidden="false" customHeight="false" outlineLevel="0" collapsed="false">
      <c r="A34" s="3" t="s">
        <v>67</v>
      </c>
      <c r="B34" s="2" t="n">
        <v>27449</v>
      </c>
      <c r="C34" s="2" t="n">
        <f aca="false">100*(B34-$O34)/$O34</f>
        <v>0.00924235655528181</v>
      </c>
      <c r="E34" s="3" t="s">
        <v>362</v>
      </c>
      <c r="F34" s="2" t="n">
        <v>27449</v>
      </c>
      <c r="G34" s="2" t="n">
        <v>28.3987</v>
      </c>
      <c r="H34" s="2" t="n">
        <f aca="false">100*(F34-$U34)/$U34</f>
        <v>0</v>
      </c>
      <c r="I34" s="6"/>
      <c r="J34" s="6" t="n">
        <f aca="false">100*(F34-U34)/U34</f>
        <v>0</v>
      </c>
      <c r="K34" s="6"/>
      <c r="M34" s="2" t="s">
        <v>362</v>
      </c>
      <c r="N34" s="2" t="n">
        <v>27449</v>
      </c>
      <c r="O34" s="2" t="n">
        <v>27446.4633</v>
      </c>
      <c r="P34" s="2" t="n">
        <v>25.8737</v>
      </c>
      <c r="Q34" s="2" t="n">
        <f aca="false">100*(N34-O34)/O34</f>
        <v>0.00924235655528181</v>
      </c>
      <c r="S34" s="2" t="s">
        <v>362</v>
      </c>
      <c r="T34" s="2" t="n">
        <v>27449</v>
      </c>
      <c r="U34" s="2" t="n">
        <v>27449</v>
      </c>
      <c r="V34" s="2" t="n">
        <v>64.762</v>
      </c>
      <c r="W34" s="2" t="n">
        <f aca="false">100*(T34-U34)/U34</f>
        <v>0</v>
      </c>
      <c r="Y34" s="2" t="s">
        <v>362</v>
      </c>
      <c r="Z34" s="2" t="n">
        <v>27449</v>
      </c>
      <c r="AA34" s="2" t="n">
        <v>14.3504</v>
      </c>
      <c r="AB34" s="2" t="n">
        <f aca="false">100*(Z34-O34)/O34</f>
        <v>0.00924235655528181</v>
      </c>
      <c r="AD34" s="2" t="n">
        <f aca="false">100*(Z34-U34)/U34</f>
        <v>0</v>
      </c>
      <c r="AF34" s="2" t="s">
        <v>362</v>
      </c>
      <c r="AG34" s="2" t="n">
        <v>27449</v>
      </c>
      <c r="AH34" s="2" t="n">
        <v>32.3144</v>
      </c>
      <c r="AI34" s="2" t="n">
        <f aca="false">100*(AG34-$O34)/$O34</f>
        <v>0.00924235655528181</v>
      </c>
      <c r="AL34" s="2" t="s">
        <v>362</v>
      </c>
      <c r="AM34" s="2" t="n">
        <v>27449</v>
      </c>
      <c r="AN34" s="2" t="n">
        <v>13.7902</v>
      </c>
      <c r="AO34" s="2" t="n">
        <f aca="false">100*(AM34-$O34)/$O34</f>
        <v>0.00924235655528181</v>
      </c>
    </row>
    <row r="35" customFormat="false" ht="13.8" hidden="false" customHeight="false" outlineLevel="0" collapsed="false">
      <c r="A35" s="3" t="s">
        <v>69</v>
      </c>
      <c r="B35" s="2" t="n">
        <v>28603</v>
      </c>
      <c r="C35" s="2" t="n">
        <f aca="false">100*(B35-$O35)/$O35</f>
        <v>0.00992337039882578</v>
      </c>
      <c r="E35" s="3" t="s">
        <v>363</v>
      </c>
      <c r="F35" s="2" t="n">
        <v>28603</v>
      </c>
      <c r="G35" s="2" t="n">
        <v>22.0812</v>
      </c>
      <c r="H35" s="2" t="n">
        <f aca="false">100*(F35-$U35)/$U35</f>
        <v>0</v>
      </c>
      <c r="I35" s="6"/>
      <c r="J35" s="6" t="n">
        <f aca="false">100*(F35-U35)/U35</f>
        <v>0</v>
      </c>
      <c r="K35" s="6"/>
      <c r="M35" s="2" t="s">
        <v>363</v>
      </c>
      <c r="N35" s="2" t="n">
        <v>28603</v>
      </c>
      <c r="O35" s="2" t="n">
        <v>28600.1619</v>
      </c>
      <c r="P35" s="2" t="n">
        <v>9.2685</v>
      </c>
      <c r="Q35" s="2" t="n">
        <f aca="false">100*(N35-O35)/O35</f>
        <v>0.00992337039882578</v>
      </c>
      <c r="S35" s="2" t="s">
        <v>363</v>
      </c>
      <c r="T35" s="2" t="n">
        <v>28603</v>
      </c>
      <c r="U35" s="2" t="n">
        <v>28603</v>
      </c>
      <c r="V35" s="2" t="n">
        <v>29.6996</v>
      </c>
      <c r="W35" s="2" t="n">
        <f aca="false">100*(T35-U35)/U35</f>
        <v>0</v>
      </c>
      <c r="Y35" s="2" t="s">
        <v>363</v>
      </c>
      <c r="Z35" s="2" t="n">
        <v>28603</v>
      </c>
      <c r="AA35" s="2" t="n">
        <v>16.5848</v>
      </c>
      <c r="AB35" s="2" t="n">
        <f aca="false">100*(Z35-O35)/O35</f>
        <v>0.00992337039882578</v>
      </c>
      <c r="AD35" s="2" t="n">
        <f aca="false">100*(Z35-U35)/U35</f>
        <v>0</v>
      </c>
      <c r="AF35" s="2" t="s">
        <v>363</v>
      </c>
      <c r="AG35" s="2" t="n">
        <v>28603</v>
      </c>
      <c r="AH35" s="2" t="n">
        <v>27.2692</v>
      </c>
      <c r="AI35" s="2" t="n">
        <f aca="false">100*(AG35-$O35)/$O35</f>
        <v>0.00992337039882578</v>
      </c>
      <c r="AL35" s="2" t="s">
        <v>363</v>
      </c>
      <c r="AM35" s="2" t="n">
        <v>28603</v>
      </c>
      <c r="AN35" s="2" t="n">
        <v>17.1108</v>
      </c>
      <c r="AO35" s="2" t="n">
        <f aca="false">100*(AM35-$O35)/$O35</f>
        <v>0.00992337039882578</v>
      </c>
    </row>
    <row r="36" customFormat="false" ht="13.8" hidden="false" customHeight="false" outlineLevel="0" collapsed="false">
      <c r="A36" s="3" t="s">
        <v>71</v>
      </c>
      <c r="B36" s="2" t="n">
        <v>28381</v>
      </c>
      <c r="C36" s="2" t="n">
        <f aca="false">100*(B36-$O36)/$O36</f>
        <v>0.00913476199018823</v>
      </c>
      <c r="E36" s="3" t="s">
        <v>364</v>
      </c>
      <c r="F36" s="2" t="n">
        <v>28393</v>
      </c>
      <c r="G36" s="2" t="n">
        <v>31.5777</v>
      </c>
      <c r="H36" s="2" t="n">
        <f aca="false">100*(F36-$U36)/$U36</f>
        <v>0.0422818082519996</v>
      </c>
      <c r="I36" s="6"/>
      <c r="J36" s="6" t="n">
        <f aca="false">100*(F36-U36)/U36</f>
        <v>0.0422818082519996</v>
      </c>
      <c r="K36" s="6"/>
      <c r="M36" s="2" t="s">
        <v>364</v>
      </c>
      <c r="N36" s="2" t="n">
        <v>28381</v>
      </c>
      <c r="O36" s="2" t="n">
        <v>28378.4077</v>
      </c>
      <c r="P36" s="2" t="n">
        <v>24.7188</v>
      </c>
      <c r="Q36" s="2" t="n">
        <f aca="false">100*(N36-O36)/O36</f>
        <v>0.00913476199018823</v>
      </c>
      <c r="S36" s="2" t="s">
        <v>364</v>
      </c>
      <c r="T36" s="2" t="n">
        <v>28381</v>
      </c>
      <c r="U36" s="2" t="n">
        <v>28381</v>
      </c>
      <c r="V36" s="2" t="n">
        <v>64.0037</v>
      </c>
      <c r="W36" s="2" t="n">
        <f aca="false">100*(T36-U36)/U36</f>
        <v>0</v>
      </c>
      <c r="Y36" s="2" t="s">
        <v>364</v>
      </c>
      <c r="Z36" s="2" t="n">
        <v>28404</v>
      </c>
      <c r="AA36" s="2" t="n">
        <v>19.3316</v>
      </c>
      <c r="AB36" s="2" t="n">
        <f aca="false">100*(Z36-O36)/O36</f>
        <v>0.0901822972964063</v>
      </c>
      <c r="AD36" s="2" t="n">
        <f aca="false">100*(Z36-U36)/U36</f>
        <v>0.0810401324829992</v>
      </c>
      <c r="AF36" s="2" t="s">
        <v>364</v>
      </c>
      <c r="AG36" s="2" t="n">
        <v>28393</v>
      </c>
      <c r="AH36" s="2" t="n">
        <v>48.741</v>
      </c>
      <c r="AI36" s="2" t="n">
        <f aca="false">100*(AG36-$O36)/$O36</f>
        <v>0.0514204325847368</v>
      </c>
      <c r="AL36" s="2" t="s">
        <v>364</v>
      </c>
      <c r="AM36" s="2" t="n">
        <v>28393</v>
      </c>
      <c r="AN36" s="2" t="n">
        <v>16.9953</v>
      </c>
      <c r="AO36" s="2" t="n">
        <f aca="false">100*(AM36-$O36)/$O36</f>
        <v>0.0514204325847368</v>
      </c>
    </row>
    <row r="37" customFormat="false" ht="13.8" hidden="false" customHeight="false" outlineLevel="0" collapsed="false">
      <c r="A37" s="3" t="s">
        <v>73</v>
      </c>
      <c r="B37" s="2" t="n">
        <v>27949</v>
      </c>
      <c r="C37" s="2" t="n">
        <f aca="false">100*(B37-$O37)/$O37</f>
        <v>0.00971578161258391</v>
      </c>
      <c r="E37" s="3" t="s">
        <v>365</v>
      </c>
      <c r="F37" s="2" t="n">
        <v>27949</v>
      </c>
      <c r="G37" s="2" t="n">
        <v>23.3124</v>
      </c>
      <c r="H37" s="2" t="n">
        <f aca="false">100*(F37-$U37)/$U37</f>
        <v>0</v>
      </c>
      <c r="I37" s="6"/>
      <c r="J37" s="6" t="n">
        <f aca="false">100*(F37-U37)/U37</f>
        <v>0</v>
      </c>
      <c r="K37" s="6"/>
      <c r="M37" s="2" t="s">
        <v>365</v>
      </c>
      <c r="N37" s="2" t="n">
        <v>27949</v>
      </c>
      <c r="O37" s="2" t="n">
        <v>27946.2848</v>
      </c>
      <c r="P37" s="2" t="n">
        <v>40.6552</v>
      </c>
      <c r="Q37" s="2" t="n">
        <f aca="false">100*(N37-O37)/O37</f>
        <v>0.00971578161258391</v>
      </c>
      <c r="S37" s="2" t="s">
        <v>365</v>
      </c>
      <c r="T37" s="2" t="n">
        <v>27949</v>
      </c>
      <c r="U37" s="2" t="n">
        <v>27949</v>
      </c>
      <c r="V37" s="2" t="n">
        <v>112.2757</v>
      </c>
      <c r="W37" s="2" t="n">
        <f aca="false">100*(T37-U37)/U37</f>
        <v>0</v>
      </c>
      <c r="Y37" s="2" t="s">
        <v>365</v>
      </c>
      <c r="Z37" s="2" t="n">
        <v>27949</v>
      </c>
      <c r="AA37" s="2" t="n">
        <v>18.8993</v>
      </c>
      <c r="AB37" s="2" t="n">
        <f aca="false">100*(Z37-O37)/O37</f>
        <v>0.00971578161258391</v>
      </c>
      <c r="AD37" s="2" t="n">
        <f aca="false">100*(Z37-U37)/U37</f>
        <v>0</v>
      </c>
      <c r="AF37" s="2" t="s">
        <v>365</v>
      </c>
      <c r="AG37" s="2" t="n">
        <v>27949</v>
      </c>
      <c r="AH37" s="2" t="n">
        <v>27.9399</v>
      </c>
      <c r="AI37" s="2" t="n">
        <f aca="false">100*(AG37-$O37)/$O37</f>
        <v>0.00971578161258391</v>
      </c>
      <c r="AL37" s="2" t="s">
        <v>365</v>
      </c>
      <c r="AM37" s="2" t="n">
        <v>27949</v>
      </c>
      <c r="AN37" s="2" t="n">
        <v>13.2786</v>
      </c>
      <c r="AO37" s="2" t="n">
        <f aca="false">100*(AM37-$O37)/$O37</f>
        <v>0.00971578161258391</v>
      </c>
    </row>
    <row r="38" customFormat="false" ht="13.8" hidden="false" customHeight="false" outlineLevel="0" collapsed="false">
      <c r="A38" s="3" t="s">
        <v>75</v>
      </c>
      <c r="B38" s="2" t="n">
        <v>27642</v>
      </c>
      <c r="C38" s="2" t="n">
        <f aca="false">100*(B38-$O38)/$O38</f>
        <v>0.00999919089660056</v>
      </c>
      <c r="E38" s="3" t="s">
        <v>366</v>
      </c>
      <c r="F38" s="2" t="n">
        <v>27642</v>
      </c>
      <c r="G38" s="2" t="n">
        <v>62.9865</v>
      </c>
      <c r="H38" s="2" t="n">
        <f aca="false">100*(F38-$U38)/$U38</f>
        <v>0</v>
      </c>
      <c r="I38" s="6"/>
      <c r="J38" s="6" t="n">
        <f aca="false">100*(F38-U38)/U38</f>
        <v>0</v>
      </c>
      <c r="K38" s="6"/>
      <c r="M38" s="2" t="s">
        <v>366</v>
      </c>
      <c r="N38" s="2" t="n">
        <v>27642</v>
      </c>
      <c r="O38" s="2" t="n">
        <v>27639.2363</v>
      </c>
      <c r="P38" s="2" t="n">
        <v>90.4683</v>
      </c>
      <c r="Q38" s="2" t="n">
        <f aca="false">100*(N38-O38)/O38</f>
        <v>0.00999919089660056</v>
      </c>
      <c r="S38" s="2" t="s">
        <v>366</v>
      </c>
      <c r="T38" s="2" t="n">
        <v>27642</v>
      </c>
      <c r="U38" s="2" t="n">
        <v>27642</v>
      </c>
      <c r="V38" s="2" t="n">
        <v>103.6204</v>
      </c>
      <c r="W38" s="2" t="n">
        <f aca="false">100*(T38-U38)/U38</f>
        <v>0</v>
      </c>
      <c r="Y38" s="2" t="s">
        <v>366</v>
      </c>
      <c r="Z38" s="2" t="n">
        <v>27642</v>
      </c>
      <c r="AA38" s="2" t="n">
        <v>58.0714</v>
      </c>
      <c r="AB38" s="2" t="n">
        <f aca="false">100*(Z38-O38)/O38</f>
        <v>0.00999919089660056</v>
      </c>
      <c r="AD38" s="2" t="n">
        <f aca="false">100*(Z38-U38)/U38</f>
        <v>0</v>
      </c>
      <c r="AF38" s="2" t="s">
        <v>366</v>
      </c>
      <c r="AG38" s="2" t="n">
        <v>27642</v>
      </c>
      <c r="AH38" s="2" t="n">
        <v>415.4814</v>
      </c>
      <c r="AI38" s="2" t="n">
        <f aca="false">100*(AG38-$O38)/$O38</f>
        <v>0.00999919089660056</v>
      </c>
      <c r="AL38" s="2" t="s">
        <v>366</v>
      </c>
      <c r="AM38" s="2" t="n">
        <v>27642</v>
      </c>
      <c r="AN38" s="2" t="n">
        <v>44.1984</v>
      </c>
      <c r="AO38" s="2" t="n">
        <f aca="false">100*(AM38-$O38)/$O38</f>
        <v>0.00999919089660056</v>
      </c>
    </row>
    <row r="39" customFormat="false" ht="13.8" hidden="false" customHeight="false" outlineLevel="0" collapsed="false">
      <c r="A39" s="3" t="s">
        <v>77</v>
      </c>
      <c r="B39" s="2" t="n">
        <v>28246</v>
      </c>
      <c r="C39" s="2" t="n">
        <f aca="false">100*(B39-$O39)/$O39</f>
        <v>0.00955660250038846</v>
      </c>
      <c r="E39" s="3" t="s">
        <v>367</v>
      </c>
      <c r="F39" s="2" t="n">
        <v>28246</v>
      </c>
      <c r="G39" s="2" t="n">
        <v>21.3688</v>
      </c>
      <c r="H39" s="2" t="n">
        <f aca="false">100*(F39-$U39)/$U39</f>
        <v>0</v>
      </c>
      <c r="I39" s="6"/>
      <c r="J39" s="6" t="n">
        <f aca="false">100*(F39-U39)/U39</f>
        <v>0</v>
      </c>
      <c r="K39" s="6"/>
      <c r="M39" s="2" t="s">
        <v>367</v>
      </c>
      <c r="N39" s="2" t="n">
        <v>28246</v>
      </c>
      <c r="O39" s="2" t="n">
        <v>28243.3009</v>
      </c>
      <c r="P39" s="2" t="n">
        <v>13.4964</v>
      </c>
      <c r="Q39" s="2" t="n">
        <f aca="false">100*(N39-O39)/O39</f>
        <v>0.00955660250038846</v>
      </c>
      <c r="S39" s="2" t="s">
        <v>367</v>
      </c>
      <c r="T39" s="2" t="n">
        <v>28246</v>
      </c>
      <c r="U39" s="2" t="n">
        <v>28246</v>
      </c>
      <c r="V39" s="2" t="n">
        <v>63.5886</v>
      </c>
      <c r="W39" s="2" t="n">
        <f aca="false">100*(T39-U39)/U39</f>
        <v>0</v>
      </c>
      <c r="Y39" s="2" t="s">
        <v>367</v>
      </c>
      <c r="Z39" s="2" t="n">
        <v>28246</v>
      </c>
      <c r="AA39" s="2" t="n">
        <v>12.2128</v>
      </c>
      <c r="AB39" s="2" t="n">
        <f aca="false">100*(Z39-O39)/O39</f>
        <v>0.00955660250038846</v>
      </c>
      <c r="AD39" s="2" t="n">
        <f aca="false">100*(Z39-U39)/U39</f>
        <v>0</v>
      </c>
      <c r="AF39" s="2" t="s">
        <v>367</v>
      </c>
      <c r="AG39" s="2" t="n">
        <v>28246</v>
      </c>
      <c r="AH39" s="2" t="n">
        <v>20.4579</v>
      </c>
      <c r="AI39" s="2" t="n">
        <f aca="false">100*(AG39-$O39)/$O39</f>
        <v>0.00955660250038846</v>
      </c>
      <c r="AL39" s="2" t="s">
        <v>367</v>
      </c>
      <c r="AM39" s="2" t="n">
        <v>28246</v>
      </c>
      <c r="AN39" s="2" t="n">
        <v>10.4449</v>
      </c>
      <c r="AO39" s="2" t="n">
        <f aca="false">100*(AM39-$O39)/$O39</f>
        <v>0.00955660250038846</v>
      </c>
    </row>
    <row r="40" customFormat="false" ht="13.8" hidden="false" customHeight="false" outlineLevel="0" collapsed="false">
      <c r="A40" s="3" t="s">
        <v>79</v>
      </c>
      <c r="B40" s="2" t="n">
        <v>28169</v>
      </c>
      <c r="C40" s="2" t="n">
        <f aca="false">100*(B40-$O40)/$O40</f>
        <v>0.00997188427106014</v>
      </c>
      <c r="E40" s="3" t="s">
        <v>368</v>
      </c>
      <c r="F40" s="2" t="n">
        <v>28176</v>
      </c>
      <c r="G40" s="2" t="n">
        <v>85.079</v>
      </c>
      <c r="H40" s="2" t="n">
        <f aca="false">100*(F40-$U40)/$U40</f>
        <v>0.0248500124250062</v>
      </c>
      <c r="I40" s="6"/>
      <c r="J40" s="6" t="n">
        <f aca="false">100*(F40-U40)/U40</f>
        <v>0.0248500124250062</v>
      </c>
      <c r="K40" s="6"/>
      <c r="M40" s="2" t="s">
        <v>368</v>
      </c>
      <c r="N40" s="2" t="n">
        <v>28169</v>
      </c>
      <c r="O40" s="2" t="n">
        <v>28166.1913</v>
      </c>
      <c r="P40" s="2" t="n">
        <v>62.8396</v>
      </c>
      <c r="Q40" s="2" t="n">
        <f aca="false">100*(N40-O40)/O40</f>
        <v>0.00997188427106014</v>
      </c>
      <c r="S40" s="2" t="s">
        <v>368</v>
      </c>
      <c r="T40" s="2" t="n">
        <v>28169</v>
      </c>
      <c r="U40" s="2" t="n">
        <v>28169</v>
      </c>
      <c r="V40" s="2" t="n">
        <v>93.0207</v>
      </c>
      <c r="W40" s="2" t="n">
        <f aca="false">100*(T40-U40)/U40</f>
        <v>0</v>
      </c>
      <c r="Y40" s="2" t="s">
        <v>368</v>
      </c>
      <c r="Z40" s="2" t="n">
        <v>28169</v>
      </c>
      <c r="AA40" s="2" t="n">
        <v>76.2673</v>
      </c>
      <c r="AB40" s="2" t="n">
        <f aca="false">100*(Z40-O40)/O40</f>
        <v>0.00997188427106014</v>
      </c>
      <c r="AD40" s="2" t="n">
        <f aca="false">100*(Z40-U40)/U40</f>
        <v>0</v>
      </c>
      <c r="AF40" s="2" t="s">
        <v>368</v>
      </c>
      <c r="AG40" s="2" t="n">
        <v>28169</v>
      </c>
      <c r="AH40" s="2" t="n">
        <v>106.1182</v>
      </c>
      <c r="AI40" s="2" t="n">
        <f aca="false">100*(AG40-$O40)/$O40</f>
        <v>0.00997188427106014</v>
      </c>
      <c r="AL40" s="2" t="s">
        <v>368</v>
      </c>
      <c r="AM40" s="2" t="n">
        <v>28169</v>
      </c>
      <c r="AN40" s="2" t="n">
        <v>67.362</v>
      </c>
      <c r="AO40" s="2" t="n">
        <f aca="false">100*(AM40-$O40)/$O40</f>
        <v>0.00997188427106014</v>
      </c>
    </row>
    <row r="41" customFormat="false" ht="13.8" hidden="false" customHeight="false" outlineLevel="0" collapsed="false">
      <c r="A41" s="3" t="s">
        <v>81</v>
      </c>
      <c r="B41" s="2" t="n">
        <v>28364</v>
      </c>
      <c r="C41" s="2" t="n">
        <f aca="false">100*(B41-$O41)/$O41</f>
        <v>0.00967658145572224</v>
      </c>
      <c r="E41" s="3" t="s">
        <v>369</v>
      </c>
      <c r="F41" s="2" t="n">
        <v>28364</v>
      </c>
      <c r="G41" s="2" t="n">
        <v>21.6391</v>
      </c>
      <c r="H41" s="2" t="n">
        <f aca="false">100*(F41-$U41)/$U41</f>
        <v>0</v>
      </c>
      <c r="I41" s="6" t="n">
        <f aca="false">AVERAGE(H32:H41)</f>
        <v>0.00671318206770058</v>
      </c>
      <c r="J41" s="6" t="n">
        <f aca="false">100*(F41-U41)/U41</f>
        <v>0</v>
      </c>
      <c r="K41" s="6" t="n">
        <f aca="false">AVERAGE(J32:J41)</f>
        <v>0.00671318206770058</v>
      </c>
      <c r="M41" s="2" t="s">
        <v>369</v>
      </c>
      <c r="N41" s="2" t="n">
        <v>28364</v>
      </c>
      <c r="O41" s="2" t="n">
        <v>28361.2556</v>
      </c>
      <c r="P41" s="2" t="n">
        <v>4.8848</v>
      </c>
      <c r="Q41" s="2" t="n">
        <f aca="false">100*(N41-O41)/O41</f>
        <v>0.00967658145572224</v>
      </c>
      <c r="R41" s="7" t="n">
        <f aca="false">AVERAGE(Q32:Q41)</f>
        <v>0.00959803910731896</v>
      </c>
      <c r="S41" s="2" t="s">
        <v>369</v>
      </c>
      <c r="T41" s="2" t="n">
        <v>28364</v>
      </c>
      <c r="U41" s="2" t="n">
        <v>28364</v>
      </c>
      <c r="V41" s="2" t="n">
        <v>31.0041</v>
      </c>
      <c r="W41" s="2" t="n">
        <f aca="false">100*(T41-U41)/U41</f>
        <v>0</v>
      </c>
      <c r="X41" s="7" t="n">
        <f aca="false">AVERAGE(W32:W41)</f>
        <v>0</v>
      </c>
      <c r="Y41" s="2" t="s">
        <v>369</v>
      </c>
      <c r="Z41" s="2" t="n">
        <v>28364</v>
      </c>
      <c r="AA41" s="2" t="n">
        <v>22.5479</v>
      </c>
      <c r="AB41" s="2" t="n">
        <f aca="false">100*(Z41-O41)/O41</f>
        <v>0.00967658145572224</v>
      </c>
      <c r="AC41" s="6" t="n">
        <f aca="false">AVERAGE(AB32:AB41)</f>
        <v>0.0177027926379408</v>
      </c>
      <c r="AD41" s="2" t="n">
        <f aca="false">100*(Z41-U41)/U41</f>
        <v>0</v>
      </c>
      <c r="AE41" s="6" t="n">
        <f aca="false">AVERAGE(AD32:AD41)</f>
        <v>0.00810401324829992</v>
      </c>
      <c r="AF41" s="2" t="s">
        <v>369</v>
      </c>
      <c r="AG41" s="2" t="n">
        <v>28364</v>
      </c>
      <c r="AH41" s="2" t="n">
        <v>34.1886</v>
      </c>
      <c r="AI41" s="2" t="n">
        <f aca="false">100*(AG41-$O41)/$O41</f>
        <v>0.00967658145572224</v>
      </c>
      <c r="AJ41" s="6" t="n">
        <f aca="false">AVERAGE(AI32:AI41)</f>
        <v>0.0226923359726219</v>
      </c>
      <c r="AL41" s="2" t="s">
        <v>369</v>
      </c>
      <c r="AM41" s="2" t="n">
        <v>28364</v>
      </c>
      <c r="AN41" s="2" t="n">
        <v>18.5013</v>
      </c>
      <c r="AO41" s="2" t="n">
        <f aca="false">100*(AM41-$O41)/$O41</f>
        <v>0.00967658145572224</v>
      </c>
      <c r="AP41" s="6" t="n">
        <f aca="false">AVERAGE(AO32:AO41)</f>
        <v>0.0226923359726219</v>
      </c>
    </row>
    <row r="42" customFormat="false" ht="13.8" hidden="false" customHeight="false" outlineLevel="0" collapsed="false">
      <c r="A42" s="3" t="s">
        <v>83</v>
      </c>
      <c r="B42" s="2" t="n">
        <v>68576</v>
      </c>
      <c r="C42" s="2" t="n">
        <f aca="false">100*(B42-$O42)/$O42</f>
        <v>0.0129101184329758</v>
      </c>
      <c r="E42" s="3" t="s">
        <v>370</v>
      </c>
      <c r="F42" s="2" t="n">
        <v>68593</v>
      </c>
      <c r="G42" s="2" t="n">
        <v>538.1194</v>
      </c>
      <c r="H42" s="2" t="n">
        <f aca="false">100*(F42-$U42)/$U42</f>
        <v>0.0277072943097967</v>
      </c>
      <c r="I42" s="6"/>
      <c r="J42" s="6" t="n">
        <f aca="false">100*(F42-U42)/U42</f>
        <v>0.0277072943097967</v>
      </c>
      <c r="K42" s="6"/>
      <c r="M42" s="2" t="s">
        <v>370</v>
      </c>
      <c r="N42" s="2" t="n">
        <v>68574</v>
      </c>
      <c r="O42" s="2" t="n">
        <v>68567.1479</v>
      </c>
      <c r="P42" s="2" t="n">
        <v>1337.2396</v>
      </c>
      <c r="Q42" s="2" t="n">
        <f aca="false">100*(N42-O42)/O42</f>
        <v>0.00999326967777189</v>
      </c>
      <c r="S42" s="2" t="s">
        <v>370</v>
      </c>
      <c r="T42" s="2" t="n">
        <v>68574</v>
      </c>
      <c r="U42" s="2" t="n">
        <v>68574</v>
      </c>
      <c r="V42" s="2" t="n">
        <v>2019.8108</v>
      </c>
      <c r="W42" s="2" t="n">
        <f aca="false">100*(T42-U42)/U42</f>
        <v>0</v>
      </c>
      <c r="Y42" s="2" t="s">
        <v>370</v>
      </c>
      <c r="Z42" s="2" t="n">
        <v>68663</v>
      </c>
      <c r="AA42" s="2" t="n">
        <v>602.529</v>
      </c>
      <c r="AB42" s="2" t="n">
        <f aca="false">100*(Z42-O42)/O42</f>
        <v>0.139793039284348</v>
      </c>
      <c r="AD42" s="2" t="n">
        <f aca="false">100*(Z42-U42)/U42</f>
        <v>0.129786799661679</v>
      </c>
      <c r="AF42" s="2" t="s">
        <v>370</v>
      </c>
      <c r="AG42" s="2" t="n">
        <v>68665</v>
      </c>
      <c r="AH42" s="2" t="n">
        <v>844.2049</v>
      </c>
      <c r="AI42" s="2" t="n">
        <f aca="false">100*(AG42-$O42)/$O42</f>
        <v>0.142709888039552</v>
      </c>
      <c r="AL42" s="2" t="s">
        <v>370</v>
      </c>
      <c r="AM42" s="2" t="n">
        <v>68665</v>
      </c>
      <c r="AN42" s="2" t="n">
        <v>540.162</v>
      </c>
      <c r="AO42" s="2" t="n">
        <f aca="false">100*(AM42-$O42)/$O42</f>
        <v>0.142709888039552</v>
      </c>
    </row>
    <row r="43" customFormat="false" ht="13.8" hidden="false" customHeight="false" outlineLevel="0" collapsed="false">
      <c r="A43" s="3" t="s">
        <v>85</v>
      </c>
      <c r="B43" s="2" t="n">
        <v>66905</v>
      </c>
      <c r="C43" s="2" t="n">
        <f aca="false">100*(B43-$O43)/$O43</f>
        <v>0.0204627470292019</v>
      </c>
      <c r="E43" s="3" t="s">
        <v>371</v>
      </c>
      <c r="F43" s="2" t="n">
        <v>66927</v>
      </c>
      <c r="G43" s="2" t="n">
        <v>566.9204</v>
      </c>
      <c r="H43" s="2" t="n">
        <f aca="false">100*(F43-$U43)/$U43</f>
        <v>0.0433495769679213</v>
      </c>
      <c r="I43" s="6"/>
      <c r="J43" s="6" t="n">
        <f aca="false">100*(F43-U43)/U43</f>
        <v>0.0433495769679213</v>
      </c>
      <c r="K43" s="6"/>
      <c r="M43" s="2" t="s">
        <v>371</v>
      </c>
      <c r="N43" s="2" t="n">
        <v>66898</v>
      </c>
      <c r="O43" s="2" t="n">
        <v>66891.3122</v>
      </c>
      <c r="P43" s="2" t="n">
        <v>2526.7337</v>
      </c>
      <c r="Q43" s="2" t="n">
        <f aca="false">100*(N43-O43)/O43</f>
        <v>0.00999800987608627</v>
      </c>
      <c r="S43" s="2" t="s">
        <v>371</v>
      </c>
      <c r="T43" s="2" t="n">
        <v>66898</v>
      </c>
      <c r="U43" s="2" t="n">
        <v>66898</v>
      </c>
      <c r="V43" s="2" t="n">
        <v>2424.6628</v>
      </c>
      <c r="W43" s="2" t="n">
        <f aca="false">100*(T43-U43)/U43</f>
        <v>0</v>
      </c>
      <c r="Y43" s="2" t="s">
        <v>371</v>
      </c>
      <c r="Z43" s="2" t="n">
        <v>66940</v>
      </c>
      <c r="AA43" s="2" t="n">
        <v>466.0941</v>
      </c>
      <c r="AB43" s="2" t="n">
        <f aca="false">100*(Z43-O43)/O43</f>
        <v>0.0727864327947803</v>
      </c>
      <c r="AD43" s="2" t="n">
        <f aca="false">100*(Z43-U43)/U43</f>
        <v>0.0627821459535412</v>
      </c>
      <c r="AF43" s="2" t="s">
        <v>371</v>
      </c>
      <c r="AG43" s="2" t="n">
        <v>66905</v>
      </c>
      <c r="AH43" s="2" t="n">
        <v>820.8814</v>
      </c>
      <c r="AI43" s="2" t="n">
        <f aca="false">100*(AG43-$O43)/$O43</f>
        <v>0.0204627470292019</v>
      </c>
      <c r="AL43" s="2" t="s">
        <v>371</v>
      </c>
      <c r="AM43" s="2" t="n">
        <v>66905</v>
      </c>
      <c r="AN43" s="2" t="n">
        <v>514.2933</v>
      </c>
      <c r="AO43" s="2" t="n">
        <f aca="false">100*(AM43-$O43)/$O43</f>
        <v>0.0204627470292019</v>
      </c>
    </row>
    <row r="44" customFormat="false" ht="13.8" hidden="false" customHeight="false" outlineLevel="0" collapsed="false">
      <c r="A44" s="3" t="s">
        <v>87</v>
      </c>
      <c r="B44" s="2" t="n">
        <v>71214</v>
      </c>
      <c r="C44" s="2" t="n">
        <f aca="false">100*(B44-$O44)/$O44</f>
        <v>0.297830219662733</v>
      </c>
      <c r="E44" s="3" t="s">
        <v>372</v>
      </c>
      <c r="F44" s="2" t="n">
        <v>71342</v>
      </c>
      <c r="G44" s="2" t="n">
        <v>512.9895</v>
      </c>
      <c r="H44" s="2" t="n">
        <f aca="false">100*(F44-$U44)/$U44</f>
        <v>0.539084647370332</v>
      </c>
      <c r="I44" s="6"/>
      <c r="J44" s="6" t="n">
        <f aca="false">100*(F44-U44)/U44</f>
        <v>0.539084647370332</v>
      </c>
      <c r="K44" s="6"/>
      <c r="M44" s="2" t="s">
        <v>372</v>
      </c>
      <c r="N44" s="2" t="n">
        <v>71147</v>
      </c>
      <c r="O44" s="2" t="n">
        <v>71002.533</v>
      </c>
      <c r="P44" s="2" t="n">
        <v>3601.175</v>
      </c>
      <c r="Q44" s="2" t="n">
        <f aca="false">100*(N44-O44)/O44</f>
        <v>0.203467388973298</v>
      </c>
      <c r="S44" s="2" t="s">
        <v>372</v>
      </c>
      <c r="T44" s="2" t="n">
        <v>71158</v>
      </c>
      <c r="U44" s="2" t="n">
        <v>70959.4684</v>
      </c>
      <c r="V44" s="2" t="n">
        <v>3614.6269</v>
      </c>
      <c r="W44" s="2" t="n">
        <f aca="false">100*(T44-U44)/U44</f>
        <v>0.279781690134536</v>
      </c>
      <c r="Y44" s="2" t="s">
        <v>372</v>
      </c>
      <c r="Z44" s="2" t="n">
        <v>71255</v>
      </c>
      <c r="AA44" s="2" t="n">
        <v>643.6214</v>
      </c>
      <c r="AB44" s="2" t="n">
        <f aca="false">100*(Z44-O44)/O44</f>
        <v>0.355574638442834</v>
      </c>
      <c r="AD44" s="2" t="n">
        <f aca="false">100*(Z44-U44)/U44</f>
        <v>0.416479444764276</v>
      </c>
      <c r="AF44" s="2" t="s">
        <v>372</v>
      </c>
      <c r="AG44" s="2" t="n">
        <v>71255</v>
      </c>
      <c r="AH44" s="2" t="n">
        <v>845.3923</v>
      </c>
      <c r="AI44" s="2" t="n">
        <f aca="false">100*(AG44-$O44)/$O44</f>
        <v>0.355574638442834</v>
      </c>
      <c r="AL44" s="2" t="s">
        <v>372</v>
      </c>
      <c r="AM44" s="2" t="n">
        <v>71255</v>
      </c>
      <c r="AN44" s="2" t="n">
        <v>521.9509</v>
      </c>
      <c r="AO44" s="2" t="n">
        <f aca="false">100*(AM44-$O44)/$O44</f>
        <v>0.355574638442834</v>
      </c>
    </row>
    <row r="45" customFormat="false" ht="13.8" hidden="false" customHeight="false" outlineLevel="0" collapsed="false">
      <c r="A45" s="3" t="s">
        <v>89</v>
      </c>
      <c r="B45" s="2" t="n">
        <v>65071</v>
      </c>
      <c r="C45" s="2" t="n">
        <f aca="false">100*(B45-$O45)/$O45</f>
        <v>0.180587552256475</v>
      </c>
      <c r="E45" s="3" t="s">
        <v>373</v>
      </c>
      <c r="F45" s="2" t="n">
        <v>65058</v>
      </c>
      <c r="G45" s="2" t="n">
        <v>435.8871</v>
      </c>
      <c r="H45" s="2" t="n">
        <f aca="false">100*(F45-$U45)/$U45</f>
        <v>0.155487476330496</v>
      </c>
      <c r="I45" s="6"/>
      <c r="J45" s="6" t="n">
        <f aca="false">100*(F45-U45)/U45</f>
        <v>0.155487476330496</v>
      </c>
      <c r="K45" s="6"/>
      <c r="M45" s="2" t="s">
        <v>373</v>
      </c>
      <c r="N45" s="2" t="n">
        <v>64957</v>
      </c>
      <c r="O45" s="2" t="n">
        <v>64953.7017</v>
      </c>
      <c r="P45" s="2" t="n">
        <v>1192.9717</v>
      </c>
      <c r="Q45" s="2" t="n">
        <f aca="false">100*(N45-O45)/O45</f>
        <v>0.00507792460426039</v>
      </c>
      <c r="S45" s="2" t="s">
        <v>373</v>
      </c>
      <c r="T45" s="2" t="n">
        <v>64957</v>
      </c>
      <c r="U45" s="2" t="n">
        <v>64957</v>
      </c>
      <c r="V45" s="2" t="n">
        <v>1256.2557</v>
      </c>
      <c r="W45" s="2" t="n">
        <f aca="false">100*(T45-U45)/U45</f>
        <v>0</v>
      </c>
      <c r="Y45" s="2" t="s">
        <v>373</v>
      </c>
      <c r="Z45" s="2" t="n">
        <v>65057</v>
      </c>
      <c r="AA45" s="2" t="n">
        <v>519.708</v>
      </c>
      <c r="AB45" s="2" t="n">
        <f aca="false">100*(Z45-O45)/O45</f>
        <v>0.159033738334273</v>
      </c>
      <c r="AD45" s="2" t="n">
        <f aca="false">100*(Z45-U45)/U45</f>
        <v>0.153947996366827</v>
      </c>
      <c r="AF45" s="2" t="s">
        <v>373</v>
      </c>
      <c r="AG45" s="2" t="n">
        <v>65055</v>
      </c>
      <c r="AH45" s="2" t="n">
        <v>830.3173</v>
      </c>
      <c r="AI45" s="2" t="n">
        <f aca="false">100*(AG45-$O45)/$O45</f>
        <v>0.155954622059673</v>
      </c>
      <c r="AL45" s="2" t="s">
        <v>373</v>
      </c>
      <c r="AM45" s="2" t="n">
        <v>65055</v>
      </c>
      <c r="AN45" s="2" t="n">
        <v>481.8137</v>
      </c>
      <c r="AO45" s="2" t="n">
        <f aca="false">100*(AM45-$O45)/$O45</f>
        <v>0.155954622059673</v>
      </c>
    </row>
    <row r="46" customFormat="false" ht="13.8" hidden="false" customHeight="false" outlineLevel="0" collapsed="false">
      <c r="A46" s="3" t="s">
        <v>91</v>
      </c>
      <c r="B46" s="2" t="n">
        <v>70602</v>
      </c>
      <c r="C46" s="2" t="n">
        <f aca="false">100*(B46-$O46)/$O46</f>
        <v>0.1754388314769</v>
      </c>
      <c r="E46" s="3" t="s">
        <v>374</v>
      </c>
      <c r="F46" s="2" t="n">
        <v>70537</v>
      </c>
      <c r="G46" s="2" t="n">
        <v>421.941</v>
      </c>
      <c r="H46" s="2" t="n">
        <f aca="false">100*(F46-$U46)/$U46</f>
        <v>0.108353238437736</v>
      </c>
      <c r="I46" s="6"/>
      <c r="J46" s="6" t="n">
        <f aca="false">100*(F46-U46)/U46</f>
        <v>0.108353238437736</v>
      </c>
      <c r="K46" s="6"/>
      <c r="M46" s="2" t="s">
        <v>374</v>
      </c>
      <c r="N46" s="2" t="n">
        <v>70537</v>
      </c>
      <c r="O46" s="2" t="n">
        <v>70478.3536</v>
      </c>
      <c r="P46" s="2" t="n">
        <v>3600.131</v>
      </c>
      <c r="Q46" s="2" t="n">
        <f aca="false">100*(N46-O46)/O46</f>
        <v>0.0832119324648892</v>
      </c>
      <c r="S46" s="2" t="s">
        <v>374</v>
      </c>
      <c r="T46" s="2" t="n">
        <v>70537</v>
      </c>
      <c r="U46" s="2" t="n">
        <v>70460.6536</v>
      </c>
      <c r="V46" s="2" t="n">
        <v>3601.7643</v>
      </c>
      <c r="W46" s="2" t="n">
        <f aca="false">100*(T46-U46)/U46</f>
        <v>0.108353238437736</v>
      </c>
      <c r="Y46" s="2" t="s">
        <v>374</v>
      </c>
      <c r="Z46" s="2" t="n">
        <v>70537</v>
      </c>
      <c r="AA46" s="2" t="n">
        <v>602.4902</v>
      </c>
      <c r="AB46" s="2" t="n">
        <f aca="false">100*(Z46-O46)/O46</f>
        <v>0.0832119324648892</v>
      </c>
      <c r="AD46" s="2" t="n">
        <f aca="false">100*(Z46-U46)/U46</f>
        <v>0.108353238437736</v>
      </c>
      <c r="AF46" s="2" t="s">
        <v>374</v>
      </c>
      <c r="AG46" s="2" t="n">
        <v>70537</v>
      </c>
      <c r="AH46" s="2" t="n">
        <v>849.5758</v>
      </c>
      <c r="AI46" s="2" t="n">
        <f aca="false">100*(AG46-$O46)/$O46</f>
        <v>0.0832119324648892</v>
      </c>
      <c r="AL46" s="2" t="s">
        <v>374</v>
      </c>
      <c r="AM46" s="2" t="n">
        <v>70537</v>
      </c>
      <c r="AN46" s="2" t="n">
        <v>484.9686</v>
      </c>
      <c r="AO46" s="2" t="n">
        <f aca="false">100*(AM46-$O46)/$O46</f>
        <v>0.0832119324648892</v>
      </c>
    </row>
    <row r="47" customFormat="false" ht="13.8" hidden="false" customHeight="false" outlineLevel="0" collapsed="false">
      <c r="A47" s="3" t="s">
        <v>93</v>
      </c>
      <c r="B47" s="2" t="n">
        <v>69106</v>
      </c>
      <c r="C47" s="2" t="n">
        <f aca="false">100*(B47-$O47)/$O47</f>
        <v>0.00999014503762046</v>
      </c>
      <c r="E47" s="3" t="s">
        <v>375</v>
      </c>
      <c r="F47" s="2" t="n">
        <v>69106</v>
      </c>
      <c r="G47" s="2" t="n">
        <v>365.8526</v>
      </c>
      <c r="H47" s="2" t="n">
        <f aca="false">100*(F47-$U47)/$U47</f>
        <v>0</v>
      </c>
      <c r="I47" s="6"/>
      <c r="J47" s="6" t="n">
        <f aca="false">100*(F47-U47)/U47</f>
        <v>0</v>
      </c>
      <c r="K47" s="6"/>
      <c r="M47" s="2" t="s">
        <v>375</v>
      </c>
      <c r="N47" s="2" t="n">
        <v>69106</v>
      </c>
      <c r="O47" s="2" t="n">
        <v>69099.0969</v>
      </c>
      <c r="P47" s="2" t="n">
        <v>304.9779</v>
      </c>
      <c r="Q47" s="2" t="n">
        <f aca="false">100*(N47-O47)/O47</f>
        <v>0.00999014503762046</v>
      </c>
      <c r="S47" s="2" t="s">
        <v>375</v>
      </c>
      <c r="T47" s="2" t="n">
        <v>69106</v>
      </c>
      <c r="U47" s="2" t="n">
        <v>69106</v>
      </c>
      <c r="V47" s="2" t="n">
        <v>749.6512</v>
      </c>
      <c r="W47" s="2" t="n">
        <f aca="false">100*(T47-U47)/U47</f>
        <v>0</v>
      </c>
      <c r="Y47" s="2" t="s">
        <v>375</v>
      </c>
      <c r="Z47" s="2" t="n">
        <v>69130</v>
      </c>
      <c r="AA47" s="2" t="n">
        <v>422.4274</v>
      </c>
      <c r="AB47" s="2" t="n">
        <f aca="false">100*(Z47-O47)/O47</f>
        <v>0.0447228710452161</v>
      </c>
      <c r="AD47" s="2" t="n">
        <f aca="false">100*(Z47-U47)/U47</f>
        <v>0.0347292565045003</v>
      </c>
      <c r="AF47" s="2" t="s">
        <v>375</v>
      </c>
      <c r="AG47" s="2" t="n">
        <v>69130</v>
      </c>
      <c r="AH47" s="2" t="n">
        <v>729.4457</v>
      </c>
      <c r="AI47" s="2" t="n">
        <f aca="false">100*(AG47-$O47)/$O47</f>
        <v>0.0447228710452161</v>
      </c>
      <c r="AL47" s="2" t="s">
        <v>375</v>
      </c>
      <c r="AM47" s="2" t="n">
        <v>69130</v>
      </c>
      <c r="AN47" s="2" t="n">
        <v>388.2573</v>
      </c>
      <c r="AO47" s="2" t="n">
        <f aca="false">100*(AM47-$O47)/$O47</f>
        <v>0.0447228710452161</v>
      </c>
    </row>
    <row r="48" customFormat="false" ht="13.8" hidden="false" customHeight="false" outlineLevel="0" collapsed="false">
      <c r="A48" s="3" t="s">
        <v>95</v>
      </c>
      <c r="B48" s="2" t="n">
        <v>67598</v>
      </c>
      <c r="C48" s="2" t="n">
        <f aca="false">100*(B48-$O48)/$O48</f>
        <v>0.233165551592603</v>
      </c>
      <c r="E48" s="3" t="s">
        <v>376</v>
      </c>
      <c r="F48" s="2" t="n">
        <v>67752</v>
      </c>
      <c r="G48" s="2" t="n">
        <v>555.9754</v>
      </c>
      <c r="H48" s="2" t="n">
        <f aca="false">100*(F48-$U48)/$U48</f>
        <v>0.462453650383221</v>
      </c>
      <c r="I48" s="6"/>
      <c r="J48" s="6" t="n">
        <f aca="false">100*(F48-U48)/U48</f>
        <v>0.462453650383221</v>
      </c>
      <c r="K48" s="6"/>
      <c r="M48" s="2" t="s">
        <v>376</v>
      </c>
      <c r="N48" s="2" t="n">
        <v>67595</v>
      </c>
      <c r="O48" s="2" t="n">
        <v>67440.7514</v>
      </c>
      <c r="P48" s="2" t="n">
        <v>3601.3824</v>
      </c>
      <c r="Q48" s="2" t="n">
        <f aca="false">100*(N48-O48)/O48</f>
        <v>0.228717202578508</v>
      </c>
      <c r="S48" s="2" t="s">
        <v>376</v>
      </c>
      <c r="T48" s="2" t="n">
        <v>67587</v>
      </c>
      <c r="U48" s="2" t="n">
        <v>67440.1207</v>
      </c>
      <c r="V48" s="2" t="n">
        <v>3611.7457</v>
      </c>
      <c r="W48" s="2" t="n">
        <f aca="false">100*(T48-U48)/U48</f>
        <v>0.217792166555242</v>
      </c>
      <c r="Y48" s="2" t="s">
        <v>376</v>
      </c>
      <c r="Z48" s="2" t="n">
        <v>67598</v>
      </c>
      <c r="AA48" s="2" t="n">
        <v>562.9421</v>
      </c>
      <c r="AB48" s="2" t="n">
        <f aca="false">100*(Z48-O48)/O48</f>
        <v>0.233165551592603</v>
      </c>
      <c r="AD48" s="2" t="n">
        <f aca="false">100*(Z48-U48)/U48</f>
        <v>0.234102932143774</v>
      </c>
      <c r="AF48" s="2" t="s">
        <v>376</v>
      </c>
      <c r="AG48" s="2" t="n">
        <v>67612</v>
      </c>
      <c r="AH48" s="2" t="n">
        <v>860.3063</v>
      </c>
      <c r="AI48" s="2" t="n">
        <f aca="false">100*(AG48-$O48)/$O48</f>
        <v>0.253924513658379</v>
      </c>
      <c r="AL48" s="2" t="s">
        <v>376</v>
      </c>
      <c r="AM48" s="2" t="n">
        <v>67612</v>
      </c>
      <c r="AN48" s="2" t="n">
        <v>512.1227</v>
      </c>
      <c r="AO48" s="2" t="n">
        <f aca="false">100*(AM48-$O48)/$O48</f>
        <v>0.253924513658379</v>
      </c>
    </row>
    <row r="49" customFormat="false" ht="13.8" hidden="false" customHeight="false" outlineLevel="0" collapsed="false">
      <c r="A49" s="3" t="s">
        <v>97</v>
      </c>
      <c r="B49" s="2" t="n">
        <v>71946</v>
      </c>
      <c r="C49" s="2" t="n">
        <f aca="false">100*(B49-$O49)/$O49</f>
        <v>0.0280718427121613</v>
      </c>
      <c r="E49" s="3" t="s">
        <v>377</v>
      </c>
      <c r="F49" s="2" t="n">
        <v>72002</v>
      </c>
      <c r="G49" s="2" t="n">
        <v>469.2711</v>
      </c>
      <c r="H49" s="2" t="n">
        <f aca="false">100*(F49-$U49)/$U49</f>
        <v>0.0959225946366758</v>
      </c>
      <c r="I49" s="6"/>
      <c r="J49" s="6" t="n">
        <f aca="false">100*(F49-U49)/U49</f>
        <v>0.0959225946366758</v>
      </c>
      <c r="K49" s="6"/>
      <c r="M49" s="2" t="s">
        <v>377</v>
      </c>
      <c r="N49" s="2" t="n">
        <v>71933</v>
      </c>
      <c r="O49" s="2" t="n">
        <v>71925.8091</v>
      </c>
      <c r="P49" s="2" t="n">
        <v>853.1445</v>
      </c>
      <c r="Q49" s="2" t="n">
        <f aca="false">100*(N49-O49)/O49</f>
        <v>0.00999766299466129</v>
      </c>
      <c r="S49" s="2" t="s">
        <v>377</v>
      </c>
      <c r="T49" s="2" t="n">
        <v>71933</v>
      </c>
      <c r="U49" s="2" t="n">
        <v>71933</v>
      </c>
      <c r="V49" s="2" t="n">
        <v>847.0327</v>
      </c>
      <c r="W49" s="2" t="n">
        <f aca="false">100*(T49-U49)/U49</f>
        <v>0</v>
      </c>
      <c r="Y49" s="2" t="s">
        <v>377</v>
      </c>
      <c r="Z49" s="2" t="n">
        <v>71946</v>
      </c>
      <c r="AA49" s="2" t="n">
        <v>451.5704</v>
      </c>
      <c r="AB49" s="2" t="n">
        <f aca="false">100*(Z49-O49)/O49</f>
        <v>0.0280718427121613</v>
      </c>
      <c r="AD49" s="2" t="n">
        <f aca="false">100*(Z49-U49)/U49</f>
        <v>0.0180723729025621</v>
      </c>
      <c r="AF49" s="2" t="s">
        <v>377</v>
      </c>
      <c r="AG49" s="2" t="n">
        <v>72027</v>
      </c>
      <c r="AH49" s="2" t="n">
        <v>745.2213</v>
      </c>
      <c r="AI49" s="2" t="n">
        <f aca="false">100*(AG49-$O49)/$O49</f>
        <v>0.140687885567354</v>
      </c>
      <c r="AL49" s="2" t="s">
        <v>377</v>
      </c>
      <c r="AM49" s="2" t="n">
        <v>72027</v>
      </c>
      <c r="AN49" s="2" t="n">
        <v>396.5485</v>
      </c>
      <c r="AO49" s="2" t="n">
        <f aca="false">100*(AM49-$O49)/$O49</f>
        <v>0.140687885567354</v>
      </c>
    </row>
    <row r="50" customFormat="false" ht="13.8" hidden="false" customHeight="false" outlineLevel="0" collapsed="false">
      <c r="A50" s="3" t="s">
        <v>99</v>
      </c>
      <c r="B50" s="2" t="n">
        <v>67292</v>
      </c>
      <c r="C50" s="2" t="n">
        <f aca="false">100*(B50-$O50)/$O50</f>
        <v>0.206302547263963</v>
      </c>
      <c r="E50" s="3" t="s">
        <v>378</v>
      </c>
      <c r="F50" s="2" t="n">
        <v>67276</v>
      </c>
      <c r="G50" s="2" t="n">
        <v>561.5357</v>
      </c>
      <c r="H50" s="2" t="n">
        <f aca="false">100*(F50-$U50)/$U50</f>
        <v>0.238443859634757</v>
      </c>
      <c r="I50" s="6"/>
      <c r="J50" s="6" t="n">
        <f aca="false">100*(F50-U50)/U50</f>
        <v>0.238443859634757</v>
      </c>
      <c r="K50" s="6"/>
      <c r="M50" s="2" t="s">
        <v>378</v>
      </c>
      <c r="N50" s="2" t="n">
        <v>67262</v>
      </c>
      <c r="O50" s="2" t="n">
        <v>67153.4607</v>
      </c>
      <c r="P50" s="2" t="n">
        <v>3600.6893</v>
      </c>
      <c r="Q50" s="2" t="n">
        <f aca="false">100*(N50-O50)/O50</f>
        <v>0.161628751323614</v>
      </c>
      <c r="S50" s="2" t="s">
        <v>378</v>
      </c>
      <c r="T50" s="2" t="n">
        <v>67273</v>
      </c>
      <c r="U50" s="2" t="n">
        <v>67115.9661</v>
      </c>
      <c r="V50" s="2" t="n">
        <v>3601.2214</v>
      </c>
      <c r="W50" s="2" t="n">
        <f aca="false">100*(T50-U50)/U50</f>
        <v>0.233973984321437</v>
      </c>
      <c r="Y50" s="2" t="s">
        <v>378</v>
      </c>
      <c r="Z50" s="2" t="n">
        <v>67276</v>
      </c>
      <c r="AA50" s="2" t="n">
        <v>655.7897</v>
      </c>
      <c r="AB50" s="2" t="n">
        <f aca="false">100*(Z50-O50)/O50</f>
        <v>0.182476522762443</v>
      </c>
      <c r="AD50" s="2" t="n">
        <f aca="false">100*(Z50-U50)/U50</f>
        <v>0.238443859634757</v>
      </c>
      <c r="AF50" s="2" t="s">
        <v>378</v>
      </c>
      <c r="AG50" s="2" t="n">
        <v>67262</v>
      </c>
      <c r="AH50" s="2" t="n">
        <v>762.9264</v>
      </c>
      <c r="AI50" s="2" t="n">
        <f aca="false">100*(AG50-$O50)/$O50</f>
        <v>0.161628751323614</v>
      </c>
      <c r="AL50" s="2" t="s">
        <v>378</v>
      </c>
      <c r="AM50" s="2" t="n">
        <v>67262</v>
      </c>
      <c r="AN50" s="2" t="n">
        <v>522.3822</v>
      </c>
      <c r="AO50" s="2" t="n">
        <f aca="false">100*(AM50-$O50)/$O50</f>
        <v>0.161628751323614</v>
      </c>
    </row>
    <row r="51" customFormat="false" ht="13.8" hidden="false" customHeight="false" outlineLevel="0" collapsed="false">
      <c r="A51" s="3" t="s">
        <v>101</v>
      </c>
      <c r="B51" s="2" t="n">
        <v>72575</v>
      </c>
      <c r="C51" s="2" t="n">
        <f aca="false">100*(B51-$O51)/$O51</f>
        <v>0.0458053326847362</v>
      </c>
      <c r="E51" s="3" t="s">
        <v>379</v>
      </c>
      <c r="F51" s="2" t="n">
        <v>72620</v>
      </c>
      <c r="G51" s="2" t="n">
        <v>517.5031</v>
      </c>
      <c r="H51" s="2" t="n">
        <f aca="false">100*(F51-$U51)/$U51</f>
        <v>0.0978648913148355</v>
      </c>
      <c r="I51" s="6" t="n">
        <f aca="false">AVERAGE(H42:H51)</f>
        <v>0.176866722938577</v>
      </c>
      <c r="J51" s="6" t="n">
        <f aca="false">100*(F51-U51)/U51</f>
        <v>0.0978648913148355</v>
      </c>
      <c r="K51" s="6" t="n">
        <f aca="false">AVERAGE(J42:J51)</f>
        <v>0.176866722938577</v>
      </c>
      <c r="M51" s="2" t="s">
        <v>379</v>
      </c>
      <c r="N51" s="2" t="n">
        <v>72549</v>
      </c>
      <c r="O51" s="2" t="n">
        <v>72541.772</v>
      </c>
      <c r="P51" s="2" t="n">
        <v>855.1911</v>
      </c>
      <c r="Q51" s="2" t="n">
        <f aca="false">100*(N51-O51)/O51</f>
        <v>0.0099639143085763</v>
      </c>
      <c r="R51" s="7" t="n">
        <f aca="false">AVERAGE(Q42:Q51)</f>
        <v>0.0732046201839287</v>
      </c>
      <c r="S51" s="2" t="s">
        <v>379</v>
      </c>
      <c r="T51" s="2" t="n">
        <v>72549</v>
      </c>
      <c r="U51" s="2" t="n">
        <v>72549</v>
      </c>
      <c r="V51" s="2" t="n">
        <v>1250.9465</v>
      </c>
      <c r="W51" s="2" t="n">
        <f aca="false">100*(T51-U51)/U51</f>
        <v>0</v>
      </c>
      <c r="X51" s="7" t="n">
        <f aca="false">AVERAGE(W42:W51)</f>
        <v>0.0839901079448951</v>
      </c>
      <c r="Y51" s="2" t="s">
        <v>379</v>
      </c>
      <c r="Z51" s="2" t="n">
        <v>72671</v>
      </c>
      <c r="AA51" s="2" t="n">
        <v>589.6261</v>
      </c>
      <c r="AB51" s="2" t="n">
        <f aca="false">100*(Z51-O51)/O51</f>
        <v>0.17814287745825</v>
      </c>
      <c r="AC51" s="6" t="n">
        <f aca="false">AVERAGE(AB42:AB51)</f>
        <v>0.14769794468918</v>
      </c>
      <c r="AD51" s="2" t="n">
        <f aca="false">100*(Z51-U51)/U51</f>
        <v>0.168162207611407</v>
      </c>
      <c r="AE51" s="6" t="n">
        <f aca="false">AVERAGE(AD42:AD51)</f>
        <v>0.156486025398106</v>
      </c>
      <c r="AF51" s="2" t="s">
        <v>379</v>
      </c>
      <c r="AG51" s="2" t="n">
        <v>72549</v>
      </c>
      <c r="AH51" s="2" t="n">
        <v>852.3013</v>
      </c>
      <c r="AI51" s="2" t="n">
        <f aca="false">100*(AG51-$O51)/$O51</f>
        <v>0.0099639143085763</v>
      </c>
      <c r="AJ51" s="6" t="n">
        <f aca="false">AVERAGE(AI42:AI51)</f>
        <v>0.136884176393929</v>
      </c>
      <c r="AL51" s="2" t="s">
        <v>379</v>
      </c>
      <c r="AM51" s="2" t="n">
        <v>72671</v>
      </c>
      <c r="AN51" s="2" t="n">
        <v>493.8873</v>
      </c>
      <c r="AO51" s="2" t="n">
        <f aca="false">100*(AM51-$O51)/$O51</f>
        <v>0.17814287745825</v>
      </c>
      <c r="AP51" s="6" t="n">
        <f aca="false">AVERAGE(AO42:AO51)</f>
        <v>0.153702072708896</v>
      </c>
    </row>
    <row r="52" customFormat="false" ht="13.8" hidden="false" customHeight="false" outlineLevel="0" collapsed="false">
      <c r="A52" s="3" t="s">
        <v>103</v>
      </c>
      <c r="B52" s="2" t="n">
        <v>45197</v>
      </c>
      <c r="C52" s="2" t="n">
        <f aca="false">100*(B52-$O52)/$O52</f>
        <v>0.00887704079722752</v>
      </c>
      <c r="E52" s="3" t="s">
        <v>380</v>
      </c>
      <c r="F52" s="2" t="n">
        <v>45215</v>
      </c>
      <c r="G52" s="2" t="n">
        <v>52.1791</v>
      </c>
      <c r="H52" s="2" t="n">
        <f aca="false">100*(F52-$U52)/$U52</f>
        <v>0.0398256521450539</v>
      </c>
      <c r="I52" s="6"/>
      <c r="J52" s="6" t="n">
        <f aca="false">100*(F52-U52)/U52</f>
        <v>0.0398256521450539</v>
      </c>
      <c r="K52" s="6"/>
      <c r="M52" s="2" t="s">
        <v>380</v>
      </c>
      <c r="N52" s="2" t="n">
        <v>45197</v>
      </c>
      <c r="O52" s="2" t="n">
        <v>45192.9882</v>
      </c>
      <c r="P52" s="2" t="n">
        <v>26.5998</v>
      </c>
      <c r="Q52" s="2" t="n">
        <f aca="false">100*(N52-O52)/O52</f>
        <v>0.00887704079722752</v>
      </c>
      <c r="S52" s="2" t="s">
        <v>380</v>
      </c>
      <c r="T52" s="2" t="n">
        <v>45197</v>
      </c>
      <c r="U52" s="2" t="n">
        <v>45197</v>
      </c>
      <c r="V52" s="2" t="n">
        <v>179.2669</v>
      </c>
      <c r="W52" s="2" t="n">
        <f aca="false">100*(T52-U52)/U52</f>
        <v>0</v>
      </c>
      <c r="Y52" s="2" t="s">
        <v>380</v>
      </c>
      <c r="Z52" s="2" t="n">
        <v>45197</v>
      </c>
      <c r="AA52" s="2" t="n">
        <v>74.915</v>
      </c>
      <c r="AB52" s="2" t="n">
        <f aca="false">100*(Z52-O52)/O52</f>
        <v>0.00887704079722752</v>
      </c>
      <c r="AD52" s="2" t="n">
        <f aca="false">100*(Z52-U52)/U52</f>
        <v>0</v>
      </c>
      <c r="AF52" s="2" t="s">
        <v>380</v>
      </c>
      <c r="AG52" s="2" t="n">
        <v>45205</v>
      </c>
      <c r="AH52" s="2" t="n">
        <v>48.1514</v>
      </c>
      <c r="AI52" s="2" t="n">
        <f aca="false">100*(AG52-$O52)/$O52</f>
        <v>0.0265789019014242</v>
      </c>
      <c r="AL52" s="2" t="s">
        <v>380</v>
      </c>
      <c r="AM52" s="2" t="n">
        <v>45215</v>
      </c>
      <c r="AN52" s="2" t="n">
        <v>62.55</v>
      </c>
      <c r="AO52" s="2" t="n">
        <f aca="false">100*(AM52-$O52)/$O52</f>
        <v>0.0487062282816701</v>
      </c>
    </row>
    <row r="53" customFormat="false" ht="13.8" hidden="false" customHeight="false" outlineLevel="0" collapsed="false">
      <c r="A53" s="3" t="s">
        <v>105</v>
      </c>
      <c r="B53" s="2" t="n">
        <v>40391</v>
      </c>
      <c r="C53" s="2" t="n">
        <f aca="false">100*(B53-$O53)/$O53</f>
        <v>0.00970607431881249</v>
      </c>
      <c r="E53" s="3" t="s">
        <v>381</v>
      </c>
      <c r="F53" s="2" t="n">
        <v>40391</v>
      </c>
      <c r="G53" s="2" t="n">
        <v>126.0168</v>
      </c>
      <c r="H53" s="2" t="n">
        <f aca="false">100*(F53-$U53)/$U53</f>
        <v>0</v>
      </c>
      <c r="I53" s="6"/>
      <c r="J53" s="6" t="n">
        <f aca="false">100*(F53-U53)/U53</f>
        <v>0</v>
      </c>
      <c r="K53" s="6"/>
      <c r="M53" s="2" t="s">
        <v>381</v>
      </c>
      <c r="N53" s="2" t="n">
        <v>40391</v>
      </c>
      <c r="O53" s="2" t="n">
        <v>40387.08</v>
      </c>
      <c r="P53" s="2" t="n">
        <v>69.7208</v>
      </c>
      <c r="Q53" s="2" t="n">
        <f aca="false">100*(N53-O53)/O53</f>
        <v>0.00970607431881249</v>
      </c>
      <c r="S53" s="2" t="s">
        <v>381</v>
      </c>
      <c r="T53" s="2" t="n">
        <v>40391</v>
      </c>
      <c r="U53" s="2" t="n">
        <v>40391</v>
      </c>
      <c r="V53" s="2" t="n">
        <v>136.1417</v>
      </c>
      <c r="W53" s="2" t="n">
        <f aca="false">100*(T53-U53)/U53</f>
        <v>0</v>
      </c>
      <c r="Y53" s="2" t="s">
        <v>381</v>
      </c>
      <c r="Z53" s="2" t="n">
        <v>40391</v>
      </c>
      <c r="AA53" s="2" t="n">
        <v>129.0353</v>
      </c>
      <c r="AB53" s="2" t="n">
        <f aca="false">100*(Z53-O53)/O53</f>
        <v>0.00970607431881249</v>
      </c>
      <c r="AD53" s="2" t="n">
        <f aca="false">100*(Z53-U53)/U53</f>
        <v>0</v>
      </c>
      <c r="AF53" s="2" t="s">
        <v>381</v>
      </c>
      <c r="AG53" s="2" t="n">
        <v>40391</v>
      </c>
      <c r="AH53" s="2" t="n">
        <v>51.8765</v>
      </c>
      <c r="AI53" s="2" t="n">
        <f aca="false">100*(AG53-$O53)/$O53</f>
        <v>0.00970607431881249</v>
      </c>
      <c r="AL53" s="2" t="s">
        <v>381</v>
      </c>
      <c r="AM53" s="2" t="n">
        <v>40391</v>
      </c>
      <c r="AN53" s="2" t="n">
        <v>76.0684</v>
      </c>
      <c r="AO53" s="2" t="n">
        <f aca="false">100*(AM53-$O53)/$O53</f>
        <v>0.00970607431881249</v>
      </c>
    </row>
    <row r="54" customFormat="false" ht="13.8" hidden="false" customHeight="false" outlineLevel="0" collapsed="false">
      <c r="A54" s="3" t="s">
        <v>107</v>
      </c>
      <c r="B54" s="2" t="n">
        <v>41832</v>
      </c>
      <c r="C54" s="2" t="n">
        <f aca="false">100*(B54-$O54)/$O54</f>
        <v>0.00998761054317452</v>
      </c>
      <c r="E54" s="3" t="s">
        <v>382</v>
      </c>
      <c r="F54" s="2" t="n">
        <v>41832</v>
      </c>
      <c r="G54" s="2" t="n">
        <v>30.5039</v>
      </c>
      <c r="H54" s="2" t="n">
        <f aca="false">100*(F54-$U54)/$U54</f>
        <v>0</v>
      </c>
      <c r="I54" s="6"/>
      <c r="J54" s="6" t="n">
        <f aca="false">100*(F54-U54)/U54</f>
        <v>0</v>
      </c>
      <c r="K54" s="6"/>
      <c r="M54" s="2" t="s">
        <v>382</v>
      </c>
      <c r="N54" s="2" t="n">
        <v>41832</v>
      </c>
      <c r="O54" s="2" t="n">
        <v>41827.8224</v>
      </c>
      <c r="P54" s="2" t="n">
        <v>26.5985</v>
      </c>
      <c r="Q54" s="2" t="n">
        <f aca="false">100*(N54-O54)/O54</f>
        <v>0.00998761054317452</v>
      </c>
      <c r="S54" s="2" t="s">
        <v>382</v>
      </c>
      <c r="T54" s="2" t="n">
        <v>41832</v>
      </c>
      <c r="U54" s="2" t="n">
        <v>41832</v>
      </c>
      <c r="V54" s="2" t="n">
        <v>130.0137</v>
      </c>
      <c r="W54" s="2" t="n">
        <f aca="false">100*(T54-U54)/U54</f>
        <v>0</v>
      </c>
      <c r="Y54" s="2" t="s">
        <v>382</v>
      </c>
      <c r="Z54" s="2" t="n">
        <v>41832</v>
      </c>
      <c r="AA54" s="2" t="n">
        <v>39.1497</v>
      </c>
      <c r="AB54" s="2" t="n">
        <f aca="false">100*(Z54-O54)/O54</f>
        <v>0.00998761054317452</v>
      </c>
      <c r="AD54" s="2" t="n">
        <f aca="false">100*(Z54-U54)/U54</f>
        <v>0</v>
      </c>
      <c r="AF54" s="2" t="s">
        <v>382</v>
      </c>
      <c r="AG54" s="2" t="n">
        <v>41832</v>
      </c>
      <c r="AH54" s="2" t="n">
        <v>27.1511</v>
      </c>
      <c r="AI54" s="2" t="n">
        <f aca="false">100*(AG54-$O54)/$O54</f>
        <v>0.00998761054317452</v>
      </c>
      <c r="AL54" s="2" t="s">
        <v>382</v>
      </c>
      <c r="AM54" s="2" t="n">
        <v>41832</v>
      </c>
      <c r="AN54" s="2" t="n">
        <v>37.5168</v>
      </c>
      <c r="AO54" s="2" t="n">
        <f aca="false">100*(AM54-$O54)/$O54</f>
        <v>0.00998761054317452</v>
      </c>
    </row>
    <row r="55" customFormat="false" ht="13.8" hidden="false" customHeight="false" outlineLevel="0" collapsed="false">
      <c r="A55" s="3" t="s">
        <v>109</v>
      </c>
      <c r="B55" s="2" t="n">
        <v>41461</v>
      </c>
      <c r="C55" s="2" t="n">
        <f aca="false">100*(B55-$O55)/$O55</f>
        <v>0.00464988697937543</v>
      </c>
      <c r="E55" s="3" t="s">
        <v>383</v>
      </c>
      <c r="F55" s="2" t="n">
        <v>41461</v>
      </c>
      <c r="G55" s="2" t="n">
        <v>57.6428</v>
      </c>
      <c r="H55" s="2" t="n">
        <f aca="false">100*(F55-$U55)/$U55</f>
        <v>0</v>
      </c>
      <c r="I55" s="6"/>
      <c r="J55" s="6" t="n">
        <f aca="false">100*(F55-U55)/U55</f>
        <v>0</v>
      </c>
      <c r="K55" s="6"/>
      <c r="M55" s="2" t="s">
        <v>383</v>
      </c>
      <c r="N55" s="2" t="n">
        <v>41461</v>
      </c>
      <c r="O55" s="2" t="n">
        <v>41459.0722</v>
      </c>
      <c r="P55" s="2" t="n">
        <v>37.6487</v>
      </c>
      <c r="Q55" s="2" t="n">
        <f aca="false">100*(N55-O55)/O55</f>
        <v>0.00464988697937543</v>
      </c>
      <c r="S55" s="2" t="s">
        <v>383</v>
      </c>
      <c r="T55" s="2" t="n">
        <v>41461</v>
      </c>
      <c r="U55" s="2" t="n">
        <v>41461</v>
      </c>
      <c r="V55" s="2" t="n">
        <v>275.6817</v>
      </c>
      <c r="W55" s="2" t="n">
        <f aca="false">100*(T55-U55)/U55</f>
        <v>0</v>
      </c>
      <c r="Y55" s="2" t="s">
        <v>383</v>
      </c>
      <c r="Z55" s="2" t="n">
        <v>41468</v>
      </c>
      <c r="AA55" s="2" t="n">
        <v>68.3289</v>
      </c>
      <c r="AB55" s="2" t="n">
        <f aca="false">100*(Z55-O55)/O55</f>
        <v>0.0215340081826473</v>
      </c>
      <c r="AD55" s="2" t="n">
        <f aca="false">100*(Z55-U55)/U55</f>
        <v>0.0168833361472227</v>
      </c>
      <c r="AF55" s="2" t="s">
        <v>383</v>
      </c>
      <c r="AG55" s="2" t="n">
        <v>41461</v>
      </c>
      <c r="AH55" s="2" t="n">
        <v>84.8464</v>
      </c>
      <c r="AI55" s="2" t="n">
        <f aca="false">100*(AG55-$O55)/$O55</f>
        <v>0.00464988697937543</v>
      </c>
      <c r="AL55" s="2" t="s">
        <v>383</v>
      </c>
      <c r="AM55" s="2" t="n">
        <v>41468</v>
      </c>
      <c r="AN55" s="2" t="n">
        <v>53.2547</v>
      </c>
      <c r="AO55" s="2" t="n">
        <f aca="false">100*(AM55-$O55)/$O55</f>
        <v>0.0215340081826473</v>
      </c>
    </row>
    <row r="56" customFormat="false" ht="13.8" hidden="false" customHeight="false" outlineLevel="0" collapsed="false">
      <c r="A56" s="3" t="s">
        <v>111</v>
      </c>
      <c r="B56" s="2" t="n">
        <v>42597</v>
      </c>
      <c r="C56" s="2" t="n">
        <f aca="false">100*(B56-$O56)/$O56</f>
        <v>0.00999982607364967</v>
      </c>
      <c r="E56" s="3" t="s">
        <v>384</v>
      </c>
      <c r="F56" s="2" t="n">
        <v>42597</v>
      </c>
      <c r="G56" s="2" t="n">
        <v>29.3079</v>
      </c>
      <c r="H56" s="2" t="n">
        <f aca="false">100*(F56-$U56)/$U56</f>
        <v>0</v>
      </c>
      <c r="I56" s="6"/>
      <c r="J56" s="6" t="n">
        <f aca="false">100*(F56-U56)/U56</f>
        <v>0</v>
      </c>
      <c r="K56" s="6"/>
      <c r="M56" s="2" t="s">
        <v>384</v>
      </c>
      <c r="N56" s="2" t="n">
        <v>42597</v>
      </c>
      <c r="O56" s="2" t="n">
        <v>42592.7408</v>
      </c>
      <c r="P56" s="2" t="n">
        <v>39.3412</v>
      </c>
      <c r="Q56" s="2" t="n">
        <f aca="false">100*(N56-O56)/O56</f>
        <v>0.00999982607364967</v>
      </c>
      <c r="S56" s="2" t="s">
        <v>384</v>
      </c>
      <c r="T56" s="2" t="n">
        <v>42597</v>
      </c>
      <c r="U56" s="2" t="n">
        <v>42597</v>
      </c>
      <c r="V56" s="2" t="n">
        <v>170.8169</v>
      </c>
      <c r="W56" s="2" t="n">
        <f aca="false">100*(T56-U56)/U56</f>
        <v>0</v>
      </c>
      <c r="Y56" s="2" t="s">
        <v>384</v>
      </c>
      <c r="Z56" s="2" t="n">
        <v>42599</v>
      </c>
      <c r="AA56" s="2" t="n">
        <v>40.6224</v>
      </c>
      <c r="AB56" s="2" t="n">
        <f aca="false">100*(Z56-O56)/O56</f>
        <v>0.0146954619083833</v>
      </c>
      <c r="AD56" s="2" t="n">
        <f aca="false">100*(Z56-U56)/U56</f>
        <v>0.00469516632626711</v>
      </c>
      <c r="AF56" s="2" t="s">
        <v>384</v>
      </c>
      <c r="AG56" s="2" t="n">
        <v>42599</v>
      </c>
      <c r="AH56" s="2" t="n">
        <v>40.9149</v>
      </c>
      <c r="AI56" s="2" t="n">
        <f aca="false">100*(AG56-$O56)/$O56</f>
        <v>0.0146954619083833</v>
      </c>
      <c r="AL56" s="2" t="s">
        <v>384</v>
      </c>
      <c r="AM56" s="2" t="n">
        <v>42599</v>
      </c>
      <c r="AN56" s="2" t="n">
        <v>59.8782</v>
      </c>
      <c r="AO56" s="2" t="n">
        <f aca="false">100*(AM56-$O56)/$O56</f>
        <v>0.0146954619083833</v>
      </c>
    </row>
    <row r="57" customFormat="false" ht="13.8" hidden="false" customHeight="false" outlineLevel="0" collapsed="false">
      <c r="A57" s="3" t="s">
        <v>113</v>
      </c>
      <c r="B57" s="2" t="n">
        <v>40781</v>
      </c>
      <c r="C57" s="2" t="n">
        <f aca="false">100*(B57-$O57)/$O57</f>
        <v>0.00966352171616733</v>
      </c>
      <c r="E57" s="3" t="s">
        <v>385</v>
      </c>
      <c r="F57" s="2" t="n">
        <v>40781</v>
      </c>
      <c r="G57" s="2" t="n">
        <v>118.5841</v>
      </c>
      <c r="H57" s="2" t="n">
        <f aca="false">100*(F57-$U57)/$U57</f>
        <v>0</v>
      </c>
      <c r="I57" s="6"/>
      <c r="J57" s="6" t="n">
        <f aca="false">100*(F57-U57)/U57</f>
        <v>0</v>
      </c>
      <c r="K57" s="6"/>
      <c r="M57" s="2" t="s">
        <v>385</v>
      </c>
      <c r="N57" s="2" t="n">
        <v>40781</v>
      </c>
      <c r="O57" s="2" t="n">
        <v>40777.0595</v>
      </c>
      <c r="P57" s="2" t="n">
        <v>68.8937</v>
      </c>
      <c r="Q57" s="2" t="n">
        <f aca="false">100*(N57-O57)/O57</f>
        <v>0.00966352171616733</v>
      </c>
      <c r="S57" s="2" t="s">
        <v>385</v>
      </c>
      <c r="T57" s="2" t="n">
        <v>40781</v>
      </c>
      <c r="U57" s="2" t="n">
        <v>40781</v>
      </c>
      <c r="V57" s="2" t="n">
        <v>309.1247</v>
      </c>
      <c r="W57" s="2" t="n">
        <f aca="false">100*(T57-U57)/U57</f>
        <v>0</v>
      </c>
      <c r="Y57" s="2" t="s">
        <v>385</v>
      </c>
      <c r="Z57" s="2" t="n">
        <v>40791</v>
      </c>
      <c r="AA57" s="2" t="n">
        <v>98.014</v>
      </c>
      <c r="AB57" s="2" t="n">
        <f aca="false">100*(Z57-O57)/O57</f>
        <v>0.0341871144484976</v>
      </c>
      <c r="AD57" s="2" t="n">
        <f aca="false">100*(Z57-U57)/U57</f>
        <v>0.0245212231186092</v>
      </c>
      <c r="AF57" s="2" t="s">
        <v>385</v>
      </c>
      <c r="AG57" s="2" t="n">
        <v>40781</v>
      </c>
      <c r="AH57" s="2" t="n">
        <v>58.2761</v>
      </c>
      <c r="AI57" s="2" t="n">
        <f aca="false">100*(AG57-$O57)/$O57</f>
        <v>0.00966352171616733</v>
      </c>
      <c r="AL57" s="2" t="s">
        <v>385</v>
      </c>
      <c r="AM57" s="2" t="n">
        <v>40781</v>
      </c>
      <c r="AN57" s="2" t="n">
        <v>70.0062</v>
      </c>
      <c r="AO57" s="2" t="n">
        <f aca="false">100*(AM57-$O57)/$O57</f>
        <v>0.00966352171616733</v>
      </c>
    </row>
    <row r="58" customFormat="false" ht="13.8" hidden="false" customHeight="false" outlineLevel="0" collapsed="false">
      <c r="A58" s="3" t="s">
        <v>115</v>
      </c>
      <c r="B58" s="2" t="n">
        <v>42214</v>
      </c>
      <c r="C58" s="2" t="n">
        <f aca="false">100*(B58-$O58)/$O58</f>
        <v>0.00993110414069375</v>
      </c>
      <c r="E58" s="3" t="s">
        <v>386</v>
      </c>
      <c r="F58" s="2" t="n">
        <v>42214</v>
      </c>
      <c r="G58" s="2" t="n">
        <v>16.4319</v>
      </c>
      <c r="H58" s="2" t="n">
        <f aca="false">100*(F58-$U58)/$U58</f>
        <v>0</v>
      </c>
      <c r="I58" s="6"/>
      <c r="J58" s="6" t="n">
        <f aca="false">100*(F58-U58)/U58</f>
        <v>0</v>
      </c>
      <c r="K58" s="6"/>
      <c r="M58" s="2" t="s">
        <v>386</v>
      </c>
      <c r="N58" s="2" t="n">
        <v>42214</v>
      </c>
      <c r="O58" s="2" t="n">
        <v>42209.8081</v>
      </c>
      <c r="P58" s="2" t="n">
        <v>8.6612</v>
      </c>
      <c r="Q58" s="2" t="n">
        <f aca="false">100*(N58-O58)/O58</f>
        <v>0.00993110414069375</v>
      </c>
      <c r="S58" s="2" t="s">
        <v>386</v>
      </c>
      <c r="T58" s="2" t="n">
        <v>42214</v>
      </c>
      <c r="U58" s="2" t="n">
        <v>42214</v>
      </c>
      <c r="V58" s="2" t="n">
        <v>147.4846</v>
      </c>
      <c r="W58" s="2" t="n">
        <f aca="false">100*(T58-U58)/U58</f>
        <v>0</v>
      </c>
      <c r="Y58" s="2" t="s">
        <v>386</v>
      </c>
      <c r="Z58" s="2" t="n">
        <v>42214</v>
      </c>
      <c r="AA58" s="2" t="n">
        <v>36.2741</v>
      </c>
      <c r="AB58" s="2" t="n">
        <f aca="false">100*(Z58-O58)/O58</f>
        <v>0.00993110414069375</v>
      </c>
      <c r="AD58" s="2" t="n">
        <f aca="false">100*(Z58-U58)/U58</f>
        <v>0</v>
      </c>
      <c r="AF58" s="2" t="s">
        <v>386</v>
      </c>
      <c r="AG58" s="2" t="n">
        <v>42214</v>
      </c>
      <c r="AH58" s="2" t="n">
        <v>34.1829</v>
      </c>
      <c r="AI58" s="2" t="n">
        <f aca="false">100*(AG58-$O58)/$O58</f>
        <v>0.00993110414069375</v>
      </c>
      <c r="AL58" s="2" t="s">
        <v>386</v>
      </c>
      <c r="AM58" s="2" t="n">
        <v>42214</v>
      </c>
      <c r="AN58" s="2" t="n">
        <v>51.6532</v>
      </c>
      <c r="AO58" s="2" t="n">
        <f aca="false">100*(AM58-$O58)/$O58</f>
        <v>0.00993110414069375</v>
      </c>
    </row>
    <row r="59" customFormat="false" ht="13.8" hidden="false" customHeight="false" outlineLevel="0" collapsed="false">
      <c r="A59" s="3" t="s">
        <v>117</v>
      </c>
      <c r="B59" s="2" t="n">
        <v>42671</v>
      </c>
      <c r="C59" s="2" t="n">
        <f aca="false">100*(B59-$O59)/$O59</f>
        <v>0.0099266959651254</v>
      </c>
      <c r="E59" s="3" t="s">
        <v>387</v>
      </c>
      <c r="F59" s="2" t="n">
        <v>42673</v>
      </c>
      <c r="G59" s="2" t="n">
        <v>52.2407</v>
      </c>
      <c r="H59" s="2" t="n">
        <f aca="false">100*(F59-$U59)/$U59</f>
        <v>0.00468702397412763</v>
      </c>
      <c r="I59" s="6"/>
      <c r="J59" s="6" t="n">
        <f aca="false">100*(F59-U59)/U59</f>
        <v>0.00468702397412763</v>
      </c>
      <c r="K59" s="6"/>
      <c r="M59" s="2" t="s">
        <v>387</v>
      </c>
      <c r="N59" s="2" t="n">
        <v>42671</v>
      </c>
      <c r="O59" s="2" t="n">
        <v>42666.7646</v>
      </c>
      <c r="P59" s="2" t="n">
        <v>46.9523</v>
      </c>
      <c r="Q59" s="2" t="n">
        <f aca="false">100*(N59-O59)/O59</f>
        <v>0.0099266959651254</v>
      </c>
      <c r="S59" s="2" t="s">
        <v>387</v>
      </c>
      <c r="T59" s="2" t="n">
        <v>42671</v>
      </c>
      <c r="U59" s="2" t="n">
        <v>42671</v>
      </c>
      <c r="V59" s="2" t="n">
        <v>310.665</v>
      </c>
      <c r="W59" s="2" t="n">
        <f aca="false">100*(T59-U59)/U59</f>
        <v>0</v>
      </c>
      <c r="Y59" s="2" t="s">
        <v>387</v>
      </c>
      <c r="Z59" s="2" t="n">
        <v>42671</v>
      </c>
      <c r="AA59" s="2" t="n">
        <v>84.7915</v>
      </c>
      <c r="AB59" s="2" t="n">
        <f aca="false">100*(Z59-O59)/O59</f>
        <v>0.0099266959651254</v>
      </c>
      <c r="AD59" s="2" t="n">
        <f aca="false">100*(Z59-U59)/U59</f>
        <v>0</v>
      </c>
      <c r="AF59" s="2" t="s">
        <v>387</v>
      </c>
      <c r="AG59" s="2" t="n">
        <v>42671</v>
      </c>
      <c r="AH59" s="2" t="n">
        <v>81.0801</v>
      </c>
      <c r="AI59" s="2" t="n">
        <f aca="false">100*(AG59-$O59)/$O59</f>
        <v>0.0099266959651254</v>
      </c>
      <c r="AL59" s="2" t="s">
        <v>387</v>
      </c>
      <c r="AM59" s="2" t="n">
        <v>42671</v>
      </c>
      <c r="AN59" s="2" t="n">
        <v>113.3489</v>
      </c>
      <c r="AO59" s="2" t="n">
        <f aca="false">100*(AM59-$O59)/$O59</f>
        <v>0.0099266959651254</v>
      </c>
    </row>
    <row r="60" customFormat="false" ht="13.8" hidden="false" customHeight="false" outlineLevel="0" collapsed="false">
      <c r="A60" s="3" t="s">
        <v>119</v>
      </c>
      <c r="B60" s="2" t="n">
        <v>42742</v>
      </c>
      <c r="C60" s="2" t="n">
        <f aca="false">100*(B60-$O60)/$O60</f>
        <v>0.00999819199556646</v>
      </c>
      <c r="E60" s="3" t="s">
        <v>388</v>
      </c>
      <c r="F60" s="2" t="n">
        <v>42748</v>
      </c>
      <c r="G60" s="2" t="n">
        <v>141.479</v>
      </c>
      <c r="H60" s="2" t="n">
        <f aca="false">100*(F60-$U60)/$U60</f>
        <v>0.0140377146600533</v>
      </c>
      <c r="I60" s="6"/>
      <c r="J60" s="6" t="n">
        <f aca="false">100*(F60-U60)/U60</f>
        <v>0.0140377146600533</v>
      </c>
      <c r="K60" s="6"/>
      <c r="M60" s="2" t="s">
        <v>388</v>
      </c>
      <c r="N60" s="2" t="n">
        <v>42742</v>
      </c>
      <c r="O60" s="2" t="n">
        <v>42737.727</v>
      </c>
      <c r="P60" s="2" t="n">
        <v>126.9694</v>
      </c>
      <c r="Q60" s="2" t="n">
        <f aca="false">100*(N60-O60)/O60</f>
        <v>0.00999819199556646</v>
      </c>
      <c r="S60" s="2" t="s">
        <v>388</v>
      </c>
      <c r="T60" s="2" t="n">
        <v>42742</v>
      </c>
      <c r="U60" s="2" t="n">
        <v>42742</v>
      </c>
      <c r="V60" s="2" t="n">
        <v>445.3581</v>
      </c>
      <c r="W60" s="2" t="n">
        <f aca="false">100*(T60-U60)/U60</f>
        <v>0</v>
      </c>
      <c r="Y60" s="2" t="s">
        <v>388</v>
      </c>
      <c r="Z60" s="2" t="n">
        <v>42748</v>
      </c>
      <c r="AA60" s="2" t="n">
        <v>132.8994</v>
      </c>
      <c r="AB60" s="2" t="n">
        <f aca="false">100*(Z60-O60)/O60</f>
        <v>0.0240373101732833</v>
      </c>
      <c r="AD60" s="2" t="n">
        <f aca="false">100*(Z60-U60)/U60</f>
        <v>0.0140377146600533</v>
      </c>
      <c r="AF60" s="2" t="s">
        <v>388</v>
      </c>
      <c r="AG60" s="2" t="n">
        <v>42748</v>
      </c>
      <c r="AH60" s="2" t="n">
        <v>187.5966</v>
      </c>
      <c r="AI60" s="2" t="n">
        <f aca="false">100*(AG60-$O60)/$O60</f>
        <v>0.0240373101732833</v>
      </c>
      <c r="AL60" s="2" t="s">
        <v>388</v>
      </c>
      <c r="AM60" s="2" t="n">
        <v>42748</v>
      </c>
      <c r="AN60" s="2" t="n">
        <v>138.9606</v>
      </c>
      <c r="AO60" s="2" t="n">
        <f aca="false">100*(AM60-$O60)/$O60</f>
        <v>0.0240373101732833</v>
      </c>
    </row>
    <row r="61" customFormat="false" ht="13.8" hidden="false" customHeight="false" outlineLevel="0" collapsed="false">
      <c r="A61" s="3" t="s">
        <v>121</v>
      </c>
      <c r="B61" s="2" t="n">
        <v>42072</v>
      </c>
      <c r="C61" s="2" t="n">
        <f aca="false">100*(B61-$O61)/$O61</f>
        <v>-0.0223191285007012</v>
      </c>
      <c r="E61" s="3" t="s">
        <v>389</v>
      </c>
      <c r="F61" s="2" t="n">
        <v>42084</v>
      </c>
      <c r="G61" s="2" t="n">
        <v>55.744</v>
      </c>
      <c r="H61" s="2" t="n">
        <f aca="false">100*(F61-$U61)/$U61</f>
        <v>0</v>
      </c>
      <c r="I61" s="6" t="n">
        <f aca="false">AVERAGE(H52:H61)</f>
        <v>0.00585503907792348</v>
      </c>
      <c r="J61" s="6" t="n">
        <f aca="false">100*(F61-U61)/U61</f>
        <v>0</v>
      </c>
      <c r="K61" s="6" t="n">
        <f aca="false">AVERAGE(J52:J61)</f>
        <v>0.00585503907792348</v>
      </c>
      <c r="M61" s="2" t="s">
        <v>389</v>
      </c>
      <c r="N61" s="2" t="n">
        <v>42084</v>
      </c>
      <c r="O61" s="2" t="n">
        <v>42081.3922</v>
      </c>
      <c r="P61" s="2" t="n">
        <v>61.4953</v>
      </c>
      <c r="Q61" s="2" t="n">
        <f aca="false">100*(N61-O61)/O61</f>
        <v>0.00619703831946404</v>
      </c>
      <c r="R61" s="7" t="n">
        <f aca="false">AVERAGE(Q52:Q61)</f>
        <v>0.00889369908492566</v>
      </c>
      <c r="S61" s="2" t="s">
        <v>389</v>
      </c>
      <c r="T61" s="2" t="n">
        <v>42084</v>
      </c>
      <c r="U61" s="2" t="n">
        <v>42084</v>
      </c>
      <c r="V61" s="2" t="n">
        <v>420.9399</v>
      </c>
      <c r="W61" s="2" t="n">
        <f aca="false">100*(T61-U61)/U61</f>
        <v>0</v>
      </c>
      <c r="X61" s="7" t="n">
        <f aca="false">AVERAGE(W52:W61)</f>
        <v>0</v>
      </c>
      <c r="Y61" s="2" t="s">
        <v>389</v>
      </c>
      <c r="Z61" s="2" t="n">
        <v>42085</v>
      </c>
      <c r="AA61" s="2" t="n">
        <v>73.6032</v>
      </c>
      <c r="AB61" s="2" t="n">
        <f aca="false">100*(Z61-O61)/O61</f>
        <v>0.00857338555447781</v>
      </c>
      <c r="AC61" s="6" t="n">
        <f aca="false">AVERAGE(AB52:AB61)</f>
        <v>0.0151455806032323</v>
      </c>
      <c r="AD61" s="2" t="n">
        <f aca="false">100*(Z61-U61)/U61</f>
        <v>0.0023761999809904</v>
      </c>
      <c r="AE61" s="6" t="n">
        <f aca="false">AVERAGE(AD52:AD61)</f>
        <v>0.00625136402331427</v>
      </c>
      <c r="AF61" s="2" t="s">
        <v>389</v>
      </c>
      <c r="AG61" s="2" t="n">
        <v>42085</v>
      </c>
      <c r="AH61" s="2" t="n">
        <v>53.5665</v>
      </c>
      <c r="AI61" s="2" t="n">
        <f aca="false">100*(AG61-$O61)/$O61</f>
        <v>0.00857338555447781</v>
      </c>
      <c r="AJ61" s="6" t="n">
        <f aca="false">AVERAGE(AI52:AI61)</f>
        <v>0.0127749953200918</v>
      </c>
      <c r="AL61" s="2" t="s">
        <v>389</v>
      </c>
      <c r="AM61" s="2" t="n">
        <v>42085</v>
      </c>
      <c r="AN61" s="2" t="n">
        <v>74.0982</v>
      </c>
      <c r="AO61" s="2" t="n">
        <f aca="false">100*(AM61-$O61)/$O61</f>
        <v>0.00857338555447781</v>
      </c>
      <c r="AP61" s="6" t="n">
        <f aca="false">AVERAGE(AO52:AO61)</f>
        <v>0.0166761400784435</v>
      </c>
    </row>
    <row r="62" customFormat="false" ht="13.8" hidden="false" customHeight="false" outlineLevel="0" collapsed="false">
      <c r="A62" s="3" t="s">
        <v>123</v>
      </c>
      <c r="B62" s="2" t="n">
        <v>67347</v>
      </c>
      <c r="C62" s="2" t="n">
        <f aca="false">100*(B62-$O62)/$O62</f>
        <v>0.706837075349398</v>
      </c>
      <c r="E62" s="3" t="s">
        <v>390</v>
      </c>
      <c r="F62" s="2" t="n">
        <v>67302</v>
      </c>
      <c r="G62" s="2" t="n">
        <v>559.2625</v>
      </c>
      <c r="H62" s="2" t="n">
        <f aca="false">100*(F62-$U62)/$U62</f>
        <v>0.658916269123494</v>
      </c>
      <c r="I62" s="6"/>
      <c r="J62" s="6" t="n">
        <f aca="false">100*(F62-U62)/U62</f>
        <v>0.658916269123494</v>
      </c>
      <c r="K62" s="6"/>
      <c r="M62" s="2" t="s">
        <v>390</v>
      </c>
      <c r="N62" s="2" t="n">
        <v>67320</v>
      </c>
      <c r="O62" s="2" t="n">
        <v>66874.3076</v>
      </c>
      <c r="P62" s="2" t="n">
        <v>3601.6967</v>
      </c>
      <c r="Q62" s="2" t="n">
        <f aca="false">100*(N62-O62)/O62</f>
        <v>0.666462825553053</v>
      </c>
      <c r="S62" s="2" t="s">
        <v>390</v>
      </c>
      <c r="T62" s="2" t="n">
        <v>67346</v>
      </c>
      <c r="U62" s="2" t="n">
        <v>66861.4391</v>
      </c>
      <c r="V62" s="2" t="n">
        <v>3603.5195</v>
      </c>
      <c r="W62" s="2" t="n">
        <f aca="false">100*(T62-U62)/U62</f>
        <v>0.724724006127467</v>
      </c>
      <c r="Y62" s="2" t="s">
        <v>390</v>
      </c>
      <c r="Z62" s="2" t="n">
        <v>67184</v>
      </c>
      <c r="AA62" s="2" t="n">
        <v>620.7701</v>
      </c>
      <c r="AB62" s="2" t="n">
        <f aca="false">100*(Z62-O62)/O62</f>
        <v>0.463096233986279</v>
      </c>
      <c r="AD62" s="2" t="n">
        <f aca="false">100*(Z62-U62)/U62</f>
        <v>0.482431883521928</v>
      </c>
      <c r="AF62" s="2" t="s">
        <v>390</v>
      </c>
      <c r="AG62" s="2" t="n">
        <v>67184</v>
      </c>
      <c r="AH62" s="2" t="n">
        <v>860.0314</v>
      </c>
      <c r="AI62" s="2" t="n">
        <f aca="false">100*(AG62-$O62)/$O62</f>
        <v>0.463096233986279</v>
      </c>
      <c r="AL62" s="2" t="s">
        <v>390</v>
      </c>
      <c r="AM62" s="2" t="n">
        <v>67184</v>
      </c>
      <c r="AN62" s="2" t="n">
        <v>662.1041</v>
      </c>
      <c r="AO62" s="2" t="n">
        <f aca="false">100*(AM62-$O62)/$O62</f>
        <v>0.463096233986279</v>
      </c>
    </row>
    <row r="63" customFormat="false" ht="13.8" hidden="false" customHeight="false" outlineLevel="0" collapsed="false">
      <c r="A63" s="3" t="s">
        <v>125</v>
      </c>
      <c r="B63" s="2" t="n">
        <v>66506</v>
      </c>
      <c r="C63" s="2" t="n">
        <f aca="false">100*(B63-$O63)/$O63</f>
        <v>0.540908910769507</v>
      </c>
      <c r="E63" s="3" t="s">
        <v>391</v>
      </c>
      <c r="F63" s="2" t="n">
        <v>66237</v>
      </c>
      <c r="G63" s="2" t="n">
        <v>576.7149</v>
      </c>
      <c r="H63" s="2" t="n">
        <f aca="false">100*(F63-$U63)/$U63</f>
        <v>0.350366052946646</v>
      </c>
      <c r="I63" s="6"/>
      <c r="J63" s="6" t="n">
        <f aca="false">100*(F63-U63)/U63</f>
        <v>0.350366052946646</v>
      </c>
      <c r="K63" s="6"/>
      <c r="M63" s="2" t="s">
        <v>391</v>
      </c>
      <c r="N63" s="2" t="n">
        <v>66237</v>
      </c>
      <c r="O63" s="2" t="n">
        <v>66148.1985</v>
      </c>
      <c r="P63" s="2" t="n">
        <v>3600.1222</v>
      </c>
      <c r="Q63" s="2" t="n">
        <f aca="false">100*(N63-O63)/O63</f>
        <v>0.134246286389797</v>
      </c>
      <c r="S63" s="2" t="s">
        <v>391</v>
      </c>
      <c r="T63" s="2" t="n">
        <v>66237</v>
      </c>
      <c r="U63" s="2" t="n">
        <v>66005.7383</v>
      </c>
      <c r="V63" s="2" t="n">
        <v>3618.706</v>
      </c>
      <c r="W63" s="2" t="n">
        <f aca="false">100*(T63-U63)/U63</f>
        <v>0.350366052946646</v>
      </c>
      <c r="Y63" s="2" t="s">
        <v>391</v>
      </c>
      <c r="Z63" s="2" t="n">
        <v>66240</v>
      </c>
      <c r="AA63" s="2" t="n">
        <v>801.6091</v>
      </c>
      <c r="AB63" s="2" t="n">
        <f aca="false">100*(Z63-O63)/O63</f>
        <v>0.13878155729366</v>
      </c>
      <c r="AD63" s="2" t="n">
        <f aca="false">100*(Z63-U63)/U63</f>
        <v>0.354911112326733</v>
      </c>
      <c r="AF63" s="2" t="s">
        <v>391</v>
      </c>
      <c r="AG63" s="2" t="n">
        <v>66237</v>
      </c>
      <c r="AH63" s="2" t="n">
        <v>879.8634</v>
      </c>
      <c r="AI63" s="2" t="n">
        <f aca="false">100*(AG63-$O63)/$O63</f>
        <v>0.134246286389797</v>
      </c>
      <c r="AL63" s="2" t="s">
        <v>391</v>
      </c>
      <c r="AM63" s="2" t="n">
        <v>66237</v>
      </c>
      <c r="AN63" s="2" t="n">
        <v>611.134</v>
      </c>
      <c r="AO63" s="2" t="n">
        <f aca="false">100*(AM63-$O63)/$O63</f>
        <v>0.134246286389797</v>
      </c>
    </row>
    <row r="64" customFormat="false" ht="13.8" hidden="false" customHeight="false" outlineLevel="0" collapsed="false">
      <c r="A64" s="3" t="s">
        <v>127</v>
      </c>
      <c r="B64" s="2" t="n">
        <v>67149</v>
      </c>
      <c r="C64" s="2" t="n">
        <f aca="false">100*(B64-$O64)/$O64</f>
        <v>0.773021021419671</v>
      </c>
      <c r="E64" s="3" t="s">
        <v>392</v>
      </c>
      <c r="F64" s="2" t="n">
        <v>67074</v>
      </c>
      <c r="G64" s="2" t="n">
        <v>586.3695</v>
      </c>
      <c r="H64" s="2" t="n">
        <f aca="false">100*(F64-$U64)/$U64</f>
        <v>0.666410466644823</v>
      </c>
      <c r="I64" s="6"/>
      <c r="J64" s="6" t="n">
        <f aca="false">100*(F64-U64)/U64</f>
        <v>0.666410466644823</v>
      </c>
      <c r="K64" s="6"/>
      <c r="M64" s="2" t="s">
        <v>392</v>
      </c>
      <c r="N64" s="2" t="n">
        <v>67115</v>
      </c>
      <c r="O64" s="2" t="n">
        <v>66633.9059</v>
      </c>
      <c r="P64" s="2" t="n">
        <v>3601.9783</v>
      </c>
      <c r="Q64" s="2" t="n">
        <f aca="false">100*(N64-O64)/O64</f>
        <v>0.721995947111367</v>
      </c>
      <c r="S64" s="2" t="s">
        <v>392</v>
      </c>
      <c r="T64" s="2" t="n">
        <v>67043</v>
      </c>
      <c r="U64" s="2" t="n">
        <v>66629.9709</v>
      </c>
      <c r="V64" s="2" t="n">
        <v>3617.1319</v>
      </c>
      <c r="W64" s="2" t="n">
        <f aca="false">100*(T64-U64)/U64</f>
        <v>0.619884857251228</v>
      </c>
      <c r="Y64" s="2" t="s">
        <v>392</v>
      </c>
      <c r="Z64" s="2" t="n">
        <v>67022</v>
      </c>
      <c r="AA64" s="2" t="n">
        <v>623.7576</v>
      </c>
      <c r="AB64" s="2" t="n">
        <f aca="false">100*(Z64-O64)/O64</f>
        <v>0.58242736150336</v>
      </c>
      <c r="AD64" s="2" t="n">
        <f aca="false">100*(Z64-U64)/U64</f>
        <v>0.588367508952341</v>
      </c>
      <c r="AF64" s="2" t="s">
        <v>392</v>
      </c>
      <c r="AG64" s="2" t="n">
        <v>67034</v>
      </c>
      <c r="AH64" s="2" t="n">
        <v>852.4597</v>
      </c>
      <c r="AI64" s="2" t="n">
        <f aca="false">100*(AG64-$O64)/$O64</f>
        <v>0.600436211259232</v>
      </c>
      <c r="AL64" s="2" t="s">
        <v>392</v>
      </c>
      <c r="AM64" s="2" t="n">
        <v>67082</v>
      </c>
      <c r="AN64" s="2" t="n">
        <v>614.4904</v>
      </c>
      <c r="AO64" s="2" t="n">
        <f aca="false">100*(AM64-$O64)/$O64</f>
        <v>0.67247161028272</v>
      </c>
    </row>
    <row r="65" customFormat="false" ht="13.8" hidden="false" customHeight="false" outlineLevel="0" collapsed="false">
      <c r="A65" s="3" t="s">
        <v>129</v>
      </c>
      <c r="B65" s="2" t="n">
        <v>66904</v>
      </c>
      <c r="C65" s="2" t="n">
        <f aca="false">100*(B65-$O65)/$O65</f>
        <v>0.657649636538986</v>
      </c>
      <c r="E65" s="3" t="s">
        <v>393</v>
      </c>
      <c r="F65" s="2" t="n">
        <v>66774</v>
      </c>
      <c r="G65" s="2" t="n">
        <v>532.1269</v>
      </c>
      <c r="H65" s="2" t="n">
        <f aca="false">100*(F65-$U65)/$U65</f>
        <v>0.584884518583567</v>
      </c>
      <c r="I65" s="6"/>
      <c r="J65" s="6" t="n">
        <f aca="false">100*(F65-U65)/U65</f>
        <v>0.584884518583567</v>
      </c>
      <c r="K65" s="6"/>
      <c r="M65" s="2" t="s">
        <v>393</v>
      </c>
      <c r="N65" s="2" t="n">
        <v>66918</v>
      </c>
      <c r="O65" s="2" t="n">
        <v>66466.8808</v>
      </c>
      <c r="P65" s="2" t="n">
        <v>3600.2026</v>
      </c>
      <c r="Q65" s="2" t="n">
        <f aca="false">100*(N65-O65)/O65</f>
        <v>0.67871275824937</v>
      </c>
      <c r="S65" s="2" t="s">
        <v>393</v>
      </c>
      <c r="T65" s="2" t="n">
        <v>66977</v>
      </c>
      <c r="U65" s="2" t="n">
        <v>66385.7202</v>
      </c>
      <c r="V65" s="2" t="n">
        <v>3601.0208</v>
      </c>
      <c r="W65" s="2" t="n">
        <f aca="false">100*(T65-U65)/U65</f>
        <v>0.890673172210315</v>
      </c>
      <c r="Y65" s="2" t="s">
        <v>393</v>
      </c>
      <c r="Z65" s="2" t="n">
        <v>66774</v>
      </c>
      <c r="AA65" s="2" t="n">
        <v>629.1743</v>
      </c>
      <c r="AB65" s="2" t="n">
        <f aca="false">100*(Z65-O65)/O65</f>
        <v>0.462063506371132</v>
      </c>
      <c r="AD65" s="2" t="n">
        <f aca="false">100*(Z65-U65)/U65</f>
        <v>0.584884518583567</v>
      </c>
      <c r="AF65" s="2" t="s">
        <v>393</v>
      </c>
      <c r="AG65" s="2" t="n">
        <v>66987</v>
      </c>
      <c r="AH65" s="2" t="n">
        <v>893.3771</v>
      </c>
      <c r="AI65" s="2" t="n">
        <f aca="false">100*(AG65-$O65)/$O65</f>
        <v>0.782523858107692</v>
      </c>
      <c r="AL65" s="2" t="s">
        <v>393</v>
      </c>
      <c r="AM65" s="2" t="n">
        <v>66925</v>
      </c>
      <c r="AN65" s="2" t="n">
        <v>589.2538</v>
      </c>
      <c r="AO65" s="2" t="n">
        <f aca="false">100*(AM65-$O65)/$O65</f>
        <v>0.689244319104562</v>
      </c>
    </row>
    <row r="66" customFormat="false" ht="13.8" hidden="false" customHeight="false" outlineLevel="0" collapsed="false">
      <c r="A66" s="3" t="s">
        <v>131</v>
      </c>
      <c r="B66" s="2" t="n">
        <v>69090</v>
      </c>
      <c r="C66" s="2" t="n">
        <f aca="false">100*(B66-$O66)/$O66</f>
        <v>0.750485539980154</v>
      </c>
      <c r="E66" s="3" t="s">
        <v>394</v>
      </c>
      <c r="F66" s="2" t="n">
        <v>69048</v>
      </c>
      <c r="G66" s="2" t="n">
        <v>549.4273</v>
      </c>
      <c r="H66" s="2" t="n">
        <f aca="false">100*(F66-$U66)/$U66</f>
        <v>1.00541434251547</v>
      </c>
      <c r="I66" s="6"/>
      <c r="J66" s="6" t="n">
        <f aca="false">100*(F66-U66)/U66</f>
        <v>1.00541434251547</v>
      </c>
      <c r="K66" s="6"/>
      <c r="M66" s="2" t="s">
        <v>394</v>
      </c>
      <c r="N66" s="2" t="n">
        <v>69239</v>
      </c>
      <c r="O66" s="2" t="n">
        <v>68575.3519</v>
      </c>
      <c r="P66" s="2" t="n">
        <v>3600.8704</v>
      </c>
      <c r="Q66" s="2" t="n">
        <f aca="false">100*(N66-O66)/O66</f>
        <v>0.967764774970124</v>
      </c>
      <c r="S66" s="2" t="s">
        <v>394</v>
      </c>
      <c r="T66" s="2" t="n">
        <v>69290</v>
      </c>
      <c r="U66" s="2" t="n">
        <v>68360.6918</v>
      </c>
      <c r="V66" s="2" t="n">
        <v>3601.0927</v>
      </c>
      <c r="W66" s="2" t="n">
        <f aca="false">100*(T66-U66)/U66</f>
        <v>1.3594189519305</v>
      </c>
      <c r="Y66" s="2" t="s">
        <v>394</v>
      </c>
      <c r="Z66" s="2" t="n">
        <v>69077</v>
      </c>
      <c r="AA66" s="2" t="n">
        <v>834.9907</v>
      </c>
      <c r="AB66" s="2" t="n">
        <f aca="false">100*(Z66-O66)/O66</f>
        <v>0.731528291289754</v>
      </c>
      <c r="AD66" s="2" t="n">
        <f aca="false">100*(Z66-U66)/U66</f>
        <v>1.0478363824867</v>
      </c>
      <c r="AF66" s="2" t="s">
        <v>394</v>
      </c>
      <c r="AG66" s="2" t="n">
        <v>69146</v>
      </c>
      <c r="AH66" s="2" t="n">
        <v>1039.5537</v>
      </c>
      <c r="AI66" s="2" t="n">
        <f aca="false">100*(AG66-$O66)/$O66</f>
        <v>0.832147534338801</v>
      </c>
      <c r="AL66" s="2" t="s">
        <v>394</v>
      </c>
      <c r="AM66" s="2" t="n">
        <v>69083</v>
      </c>
      <c r="AN66" s="2" t="n">
        <v>759.126</v>
      </c>
      <c r="AO66" s="2" t="n">
        <f aca="false">100*(AM66-$O66)/$O66</f>
        <v>0.740277790685323</v>
      </c>
    </row>
    <row r="67" customFormat="false" ht="13.8" hidden="false" customHeight="false" outlineLevel="0" collapsed="false">
      <c r="A67" s="3" t="s">
        <v>133</v>
      </c>
      <c r="B67" s="2" t="n">
        <v>66535</v>
      </c>
      <c r="C67" s="2" t="n">
        <f aca="false">100*(B67-$O67)/$O67</f>
        <v>0.663098931027948</v>
      </c>
      <c r="E67" s="3" t="s">
        <v>395</v>
      </c>
      <c r="F67" s="2" t="n">
        <v>66462</v>
      </c>
      <c r="G67" s="2" t="n">
        <v>540.6273</v>
      </c>
      <c r="H67" s="2" t="n">
        <f aca="false">100*(F67-$U67)/$U67</f>
        <v>0.557750396847706</v>
      </c>
      <c r="I67" s="6"/>
      <c r="J67" s="6" t="n">
        <f aca="false">100*(F67-U67)/U67</f>
        <v>0.557750396847706</v>
      </c>
      <c r="K67" s="6"/>
      <c r="M67" s="2" t="s">
        <v>395</v>
      </c>
      <c r="N67" s="2" t="n">
        <v>66522</v>
      </c>
      <c r="O67" s="2" t="n">
        <v>66096.7134</v>
      </c>
      <c r="P67" s="2" t="n">
        <v>3600.0957</v>
      </c>
      <c r="Q67" s="2" t="n">
        <f aca="false">100*(N67-O67)/O67</f>
        <v>0.643430782142349</v>
      </c>
      <c r="S67" s="2" t="s">
        <v>395</v>
      </c>
      <c r="T67" s="2" t="n">
        <v>66560</v>
      </c>
      <c r="U67" s="2" t="n">
        <v>66093.364</v>
      </c>
      <c r="V67" s="2" t="n">
        <v>3625.3547</v>
      </c>
      <c r="W67" s="2" t="n">
        <f aca="false">100*(T67-U67)/U67</f>
        <v>0.706025494480805</v>
      </c>
      <c r="Y67" s="2" t="s">
        <v>395</v>
      </c>
      <c r="Z67" s="2" t="n">
        <v>66560</v>
      </c>
      <c r="AA67" s="2" t="n">
        <v>672.8495</v>
      </c>
      <c r="AB67" s="2" t="n">
        <f aca="false">100*(Z67-O67)/O67</f>
        <v>0.700922294269486</v>
      </c>
      <c r="AD67" s="2" t="n">
        <f aca="false">100*(Z67-U67)/U67</f>
        <v>0.706025494480805</v>
      </c>
      <c r="AF67" s="2" t="s">
        <v>395</v>
      </c>
      <c r="AG67" s="2" t="n">
        <v>66604</v>
      </c>
      <c r="AH67" s="2" t="n">
        <v>1041.5927</v>
      </c>
      <c r="AI67" s="2" t="n">
        <f aca="false">100*(AG67-$O67)/$O67</f>
        <v>0.767491413574592</v>
      </c>
      <c r="AL67" s="2" t="s">
        <v>395</v>
      </c>
      <c r="AM67" s="2" t="n">
        <v>66586</v>
      </c>
      <c r="AN67" s="2" t="n">
        <v>732.1236</v>
      </c>
      <c r="AO67" s="2" t="n">
        <f aca="false">100*(AM67-$O67)/$O67</f>
        <v>0.740258592040685</v>
      </c>
    </row>
    <row r="68" customFormat="false" ht="13.8" hidden="false" customHeight="false" outlineLevel="0" collapsed="false">
      <c r="A68" s="3" t="s">
        <v>135</v>
      </c>
      <c r="B68" s="2" t="n">
        <v>71662</v>
      </c>
      <c r="C68" s="2" t="n">
        <f aca="false">100*(B68-$O68)/$O68</f>
        <v>0.105543724094684</v>
      </c>
      <c r="E68" s="3" t="s">
        <v>396</v>
      </c>
      <c r="F68" s="2" t="n">
        <v>71651</v>
      </c>
      <c r="G68" s="2" t="n">
        <v>404.3842</v>
      </c>
      <c r="H68" s="2" t="n">
        <f aca="false">100*(F68-$U68)/$U68</f>
        <v>0</v>
      </c>
      <c r="I68" s="6"/>
      <c r="J68" s="6" t="n">
        <f aca="false">100*(F68-U68)/U68</f>
        <v>0</v>
      </c>
      <c r="K68" s="6"/>
      <c r="M68" s="2" t="s">
        <v>396</v>
      </c>
      <c r="N68" s="2" t="n">
        <v>71651</v>
      </c>
      <c r="O68" s="2" t="n">
        <v>71586.445</v>
      </c>
      <c r="P68" s="2" t="n">
        <v>3600.5066</v>
      </c>
      <c r="Q68" s="2" t="n">
        <f aca="false">100*(N68-O68)/O68</f>
        <v>0.0901776865717986</v>
      </c>
      <c r="S68" s="2" t="s">
        <v>396</v>
      </c>
      <c r="T68" s="2" t="n">
        <v>71651</v>
      </c>
      <c r="U68" s="2" t="n">
        <v>71651</v>
      </c>
      <c r="V68" s="2" t="n">
        <v>3051.8299</v>
      </c>
      <c r="W68" s="2" t="n">
        <f aca="false">100*(T68-U68)/U68</f>
        <v>0</v>
      </c>
      <c r="Y68" s="2" t="s">
        <v>396</v>
      </c>
      <c r="Z68" s="2" t="n">
        <v>71651</v>
      </c>
      <c r="AA68" s="2" t="n">
        <v>587.9147</v>
      </c>
      <c r="AB68" s="2" t="n">
        <f aca="false">100*(Z68-O68)/O68</f>
        <v>0.0901776865717986</v>
      </c>
      <c r="AD68" s="2" t="n">
        <f aca="false">100*(Z68-U68)/U68</f>
        <v>0</v>
      </c>
      <c r="AF68" s="2" t="s">
        <v>396</v>
      </c>
      <c r="AG68" s="2" t="n">
        <v>71651</v>
      </c>
      <c r="AH68" s="2" t="n">
        <v>770.2394</v>
      </c>
      <c r="AI68" s="2" t="n">
        <f aca="false">100*(AG68-$O68)/$O68</f>
        <v>0.0901776865717986</v>
      </c>
      <c r="AL68" s="2" t="s">
        <v>396</v>
      </c>
      <c r="AM68" s="2" t="n">
        <v>71895</v>
      </c>
      <c r="AN68" s="2" t="n">
        <v>751.1265</v>
      </c>
      <c r="AO68" s="2" t="n">
        <f aca="false">100*(AM68-$O68)/$O68</f>
        <v>0.431024337079447</v>
      </c>
    </row>
    <row r="69" customFormat="false" ht="13.8" hidden="false" customHeight="false" outlineLevel="0" collapsed="false">
      <c r="A69" s="3" t="s">
        <v>137</v>
      </c>
      <c r="B69" s="2" t="n">
        <v>71645</v>
      </c>
      <c r="C69" s="2" t="n">
        <f aca="false">100*(B69-$O69)/$O69</f>
        <v>0.629612284785531</v>
      </c>
      <c r="E69" s="3" t="s">
        <v>397</v>
      </c>
      <c r="F69" s="2" t="n">
        <v>71568</v>
      </c>
      <c r="G69" s="2" t="n">
        <v>578.577</v>
      </c>
      <c r="H69" s="2" t="n">
        <f aca="false">100*(F69-$U69)/$U69</f>
        <v>0.397406541174685</v>
      </c>
      <c r="I69" s="6"/>
      <c r="J69" s="6" t="n">
        <f aca="false">100*(F69-U69)/U69</f>
        <v>0.397406541174685</v>
      </c>
      <c r="K69" s="6"/>
      <c r="M69" s="2" t="s">
        <v>397</v>
      </c>
      <c r="N69" s="2" t="n">
        <v>71549</v>
      </c>
      <c r="O69" s="2" t="n">
        <v>71196.7366</v>
      </c>
      <c r="P69" s="2" t="n">
        <v>3601.3266</v>
      </c>
      <c r="Q69" s="2" t="n">
        <f aca="false">100*(N69-O69)/O69</f>
        <v>0.494774643926582</v>
      </c>
      <c r="S69" s="2" t="s">
        <v>397</v>
      </c>
      <c r="T69" s="2" t="n">
        <v>71542</v>
      </c>
      <c r="U69" s="2" t="n">
        <v>71284.7099</v>
      </c>
      <c r="V69" s="2" t="n">
        <v>3600.314</v>
      </c>
      <c r="W69" s="2" t="n">
        <f aca="false">100*(T69-U69)/U69</f>
        <v>0.360933081387203</v>
      </c>
      <c r="Y69" s="2" t="s">
        <v>397</v>
      </c>
      <c r="Z69" s="2" t="n">
        <v>71552</v>
      </c>
      <c r="AA69" s="2" t="n">
        <v>628.3748</v>
      </c>
      <c r="AB69" s="2" t="n">
        <f aca="false">100*(Z69-O69)/O69</f>
        <v>0.498988320203424</v>
      </c>
      <c r="AD69" s="2" t="n">
        <f aca="false">100*(Z69-U69)/U69</f>
        <v>0.374961335151619</v>
      </c>
      <c r="AF69" s="2" t="s">
        <v>397</v>
      </c>
      <c r="AG69" s="2" t="n">
        <v>71649</v>
      </c>
      <c r="AH69" s="2" t="n">
        <v>932.1973</v>
      </c>
      <c r="AI69" s="2" t="n">
        <f aca="false">100*(AG69-$O69)/$O69</f>
        <v>0.63523051982132</v>
      </c>
      <c r="AL69" s="2" t="s">
        <v>397</v>
      </c>
      <c r="AM69" s="2" t="n">
        <v>71544</v>
      </c>
      <c r="AN69" s="2" t="n">
        <v>649.0857</v>
      </c>
      <c r="AO69" s="2" t="n">
        <f aca="false">100*(AM69-$O69)/$O69</f>
        <v>0.487751850131845</v>
      </c>
    </row>
    <row r="70" customFormat="false" ht="13.8" hidden="false" customHeight="false" outlineLevel="0" collapsed="false">
      <c r="A70" s="3" t="s">
        <v>139</v>
      </c>
      <c r="B70" s="2" t="n">
        <v>70800</v>
      </c>
      <c r="C70" s="2" t="n">
        <f aca="false">100*(B70-$O70)/$O70</f>
        <v>0.479084844215669</v>
      </c>
      <c r="E70" s="3" t="s">
        <v>398</v>
      </c>
      <c r="F70" s="2" t="n">
        <v>70792</v>
      </c>
      <c r="G70" s="2" t="n">
        <v>463.9678</v>
      </c>
      <c r="H70" s="2" t="n">
        <f aca="false">100*(F70-$U70)/$U70</f>
        <v>0.358092053060166</v>
      </c>
      <c r="I70" s="6"/>
      <c r="J70" s="6" t="n">
        <f aca="false">100*(F70-U70)/U70</f>
        <v>0.358092053060166</v>
      </c>
      <c r="K70" s="6"/>
      <c r="M70" s="2" t="s">
        <v>398</v>
      </c>
      <c r="N70" s="2" t="n">
        <v>70831</v>
      </c>
      <c r="O70" s="2" t="n">
        <v>70462.4252</v>
      </c>
      <c r="P70" s="2" t="n">
        <v>3601.1638</v>
      </c>
      <c r="Q70" s="2" t="n">
        <f aca="false">100*(N70-O70)/O70</f>
        <v>0.523079923737854</v>
      </c>
      <c r="S70" s="2" t="s">
        <v>398</v>
      </c>
      <c r="T70" s="2" t="n">
        <v>70790</v>
      </c>
      <c r="U70" s="2" t="n">
        <v>70539.404</v>
      </c>
      <c r="V70" s="2" t="n">
        <v>3600.6044</v>
      </c>
      <c r="W70" s="2" t="n">
        <f aca="false">100*(T70-U70)/U70</f>
        <v>0.3552567583361</v>
      </c>
      <c r="Y70" s="2" t="s">
        <v>398</v>
      </c>
      <c r="Z70" s="2" t="n">
        <v>70790</v>
      </c>
      <c r="AA70" s="2" t="n">
        <v>487.7936</v>
      </c>
      <c r="AB70" s="2" t="n">
        <f aca="false">100*(Z70-O70)/O70</f>
        <v>0.46489288307948</v>
      </c>
      <c r="AD70" s="2" t="n">
        <f aca="false">100*(Z70-U70)/U70</f>
        <v>0.3552567583361</v>
      </c>
      <c r="AF70" s="2" t="s">
        <v>398</v>
      </c>
      <c r="AG70" s="2" t="n">
        <v>70792</v>
      </c>
      <c r="AH70" s="2" t="n">
        <v>849.548</v>
      </c>
      <c r="AI70" s="2" t="n">
        <f aca="false">100*(AG70-$O70)/$O70</f>
        <v>0.467731275306718</v>
      </c>
      <c r="AL70" s="2" t="s">
        <v>398</v>
      </c>
      <c r="AM70" s="2" t="n">
        <v>70792</v>
      </c>
      <c r="AN70" s="2" t="n">
        <v>581.4785</v>
      </c>
      <c r="AO70" s="2" t="n">
        <f aca="false">100*(AM70-$O70)/$O70</f>
        <v>0.467731275306718</v>
      </c>
    </row>
    <row r="71" customFormat="false" ht="13.8" hidden="false" customHeight="false" outlineLevel="0" collapsed="false">
      <c r="A71" s="3" t="s">
        <v>141</v>
      </c>
      <c r="B71" s="2" t="n">
        <v>71786</v>
      </c>
      <c r="C71" s="2" t="n">
        <f aca="false">100*(B71-$O71)/$O71</f>
        <v>0.339547457514796</v>
      </c>
      <c r="E71" s="3" t="s">
        <v>399</v>
      </c>
      <c r="F71" s="2" t="n">
        <v>71821</v>
      </c>
      <c r="G71" s="2" t="n">
        <v>443.9538</v>
      </c>
      <c r="H71" s="2" t="n">
        <f aca="false">100*(F71-$U71)/$U71</f>
        <v>0.346067979753289</v>
      </c>
      <c r="I71" s="7" t="n">
        <f aca="false">AVERAGE(H62:H71)</f>
        <v>0.492530862064985</v>
      </c>
      <c r="J71" s="6" t="n">
        <f aca="false">100*(F71-U71)/U71</f>
        <v>0.346067979753289</v>
      </c>
      <c r="K71" s="6" t="n">
        <f aca="false">AVERAGE(J62:J71)</f>
        <v>0.492530862064985</v>
      </c>
      <c r="M71" s="2" t="s">
        <v>399</v>
      </c>
      <c r="N71" s="2" t="n">
        <v>71726</v>
      </c>
      <c r="O71" s="2" t="n">
        <v>71543.0773</v>
      </c>
      <c r="P71" s="2" t="n">
        <v>3603.0215</v>
      </c>
      <c r="Q71" s="2" t="n">
        <f aca="false">100*(N71-O71)/O71</f>
        <v>0.255681900895805</v>
      </c>
      <c r="R71" s="6" t="n">
        <f aca="false">AVERAGE(Q62:Q71)</f>
        <v>0.51763275295481</v>
      </c>
      <c r="S71" s="2" t="s">
        <v>399</v>
      </c>
      <c r="T71" s="2" t="n">
        <v>71748</v>
      </c>
      <c r="U71" s="2" t="n">
        <v>71573.3077</v>
      </c>
      <c r="V71" s="2" t="n">
        <v>3600.556</v>
      </c>
      <c r="W71" s="2" t="n">
        <f aca="false">100*(T71-U71)/U71</f>
        <v>0.244074649633658</v>
      </c>
      <c r="X71" s="7" t="n">
        <f aca="false">AVERAGE(W62:W71)</f>
        <v>0.561135702430392</v>
      </c>
      <c r="Y71" s="2" t="s">
        <v>399</v>
      </c>
      <c r="Z71" s="2" t="n">
        <v>71773</v>
      </c>
      <c r="AA71" s="2" t="n">
        <v>649.1105</v>
      </c>
      <c r="AB71" s="2" t="n">
        <f aca="false">100*(Z71-O71)/O71</f>
        <v>0.321376586914015</v>
      </c>
      <c r="AC71" s="6" t="n">
        <f aca="false">AVERAGE(AB62:AB71)</f>
        <v>0.445425472148239</v>
      </c>
      <c r="AD71" s="2" t="n">
        <f aca="false">100*(Z71-U71)/U71</f>
        <v>0.279003872277367</v>
      </c>
      <c r="AE71" s="6" t="n">
        <f aca="false">AVERAGE(AD62:AD71)</f>
        <v>0.477367886611716</v>
      </c>
      <c r="AF71" s="2" t="s">
        <v>399</v>
      </c>
      <c r="AG71" s="2" t="n">
        <v>71777</v>
      </c>
      <c r="AH71" s="2" t="n">
        <v>843.7689</v>
      </c>
      <c r="AI71" s="2" t="n">
        <f aca="false">100*(AG71-$O71)/$O71</f>
        <v>0.326967624021948</v>
      </c>
      <c r="AJ71" s="6" t="n">
        <f aca="false">AVERAGE(AI62:AI71)</f>
        <v>0.510004864337818</v>
      </c>
      <c r="AL71" s="2" t="s">
        <v>399</v>
      </c>
      <c r="AM71" s="2" t="n">
        <v>71777</v>
      </c>
      <c r="AN71" s="2" t="n">
        <v>574.5754</v>
      </c>
      <c r="AO71" s="2" t="n">
        <f aca="false">100*(AM71-$O71)/$O71</f>
        <v>0.326967624021948</v>
      </c>
      <c r="AP71" s="6" t="n">
        <f aca="false">AVERAGE(AO62:AO71)</f>
        <v>0.515306991902932</v>
      </c>
    </row>
    <row r="72" customFormat="false" ht="13.8" hidden="false" customHeight="false" outlineLevel="0" collapsed="false">
      <c r="A72" s="3" t="s">
        <v>143</v>
      </c>
      <c r="B72" s="2" t="n">
        <v>42420</v>
      </c>
      <c r="C72" s="2" t="n">
        <f aca="false">100*(B72-$O72)/$O72</f>
        <v>0.00999887803492602</v>
      </c>
      <c r="E72" s="3" t="s">
        <v>400</v>
      </c>
      <c r="F72" s="2" t="n">
        <v>42420</v>
      </c>
      <c r="G72" s="2" t="n">
        <v>80.1886</v>
      </c>
      <c r="H72" s="2" t="n">
        <f aca="false">100*(F72-$U72)/$U72</f>
        <v>0</v>
      </c>
      <c r="I72" s="6"/>
      <c r="J72" s="6" t="n">
        <f aca="false">100*(F72-U72)/U72</f>
        <v>0</v>
      </c>
      <c r="K72" s="6"/>
      <c r="M72" s="2" t="s">
        <v>400</v>
      </c>
      <c r="N72" s="2" t="n">
        <v>42420</v>
      </c>
      <c r="O72" s="2" t="n">
        <v>42415.7589</v>
      </c>
      <c r="P72" s="2" t="n">
        <v>72.6649</v>
      </c>
      <c r="Q72" s="2" t="n">
        <f aca="false">100*(N72-O72)/O72</f>
        <v>0.00999887803492602</v>
      </c>
      <c r="S72" s="2" t="s">
        <v>400</v>
      </c>
      <c r="T72" s="2" t="n">
        <v>42420</v>
      </c>
      <c r="U72" s="2" t="n">
        <v>42420</v>
      </c>
      <c r="V72" s="2" t="n">
        <v>260.0551</v>
      </c>
      <c r="W72" s="2" t="n">
        <f aca="false">100*(T72-U72)/U72</f>
        <v>0</v>
      </c>
      <c r="Y72" s="2" t="s">
        <v>400</v>
      </c>
      <c r="Z72" s="2" t="n">
        <v>42420</v>
      </c>
      <c r="AA72" s="2" t="n">
        <v>82.9464</v>
      </c>
      <c r="AB72" s="2" t="n">
        <f aca="false">100*(Z72-O72)/O72</f>
        <v>0.00999887803492602</v>
      </c>
      <c r="AD72" s="2" t="n">
        <f aca="false">100*(Z72-U72)/U72</f>
        <v>0</v>
      </c>
      <c r="AF72" s="2" t="s">
        <v>400</v>
      </c>
      <c r="AG72" s="2" t="n">
        <v>42420</v>
      </c>
      <c r="AH72" s="2" t="n">
        <v>58.5592</v>
      </c>
      <c r="AI72" s="2" t="n">
        <f aca="false">100*(AG72-$O72)/$O72</f>
        <v>0.00999887803492602</v>
      </c>
      <c r="AL72" s="2" t="s">
        <v>400</v>
      </c>
      <c r="AM72" s="2" t="n">
        <v>42420</v>
      </c>
      <c r="AN72" s="2" t="n">
        <v>31.5917</v>
      </c>
      <c r="AO72" s="2" t="n">
        <f aca="false">100*(AM72-$O72)/$O72</f>
        <v>0.00999887803492602</v>
      </c>
    </row>
    <row r="73" customFormat="false" ht="13.8" hidden="false" customHeight="false" outlineLevel="0" collapsed="false">
      <c r="A73" s="3" t="s">
        <v>145</v>
      </c>
      <c r="B73" s="2" t="n">
        <v>41483</v>
      </c>
      <c r="C73" s="2" t="n">
        <f aca="false">100*(B73-$O73)/$O73</f>
        <v>0.0099573590599607</v>
      </c>
      <c r="E73" s="3" t="s">
        <v>401</v>
      </c>
      <c r="F73" s="2" t="n">
        <v>41502</v>
      </c>
      <c r="G73" s="2" t="n">
        <v>185.2651</v>
      </c>
      <c r="H73" s="2" t="n">
        <f aca="false">100*(F73-$U73)/$U73</f>
        <v>0.0458018947520671</v>
      </c>
      <c r="I73" s="6"/>
      <c r="J73" s="6" t="n">
        <f aca="false">100*(F73-U73)/U73</f>
        <v>0.0458018947520671</v>
      </c>
      <c r="K73" s="6"/>
      <c r="M73" s="2" t="s">
        <v>401</v>
      </c>
      <c r="N73" s="2" t="n">
        <v>41483</v>
      </c>
      <c r="O73" s="2" t="n">
        <v>41478.8698</v>
      </c>
      <c r="P73" s="2" t="n">
        <v>119.3389</v>
      </c>
      <c r="Q73" s="2" t="n">
        <f aca="false">100*(N73-O73)/O73</f>
        <v>0.0099573590599607</v>
      </c>
      <c r="S73" s="2" t="s">
        <v>401</v>
      </c>
      <c r="T73" s="2" t="n">
        <v>41483</v>
      </c>
      <c r="U73" s="2" t="n">
        <v>41483</v>
      </c>
      <c r="V73" s="2" t="n">
        <v>461.6919</v>
      </c>
      <c r="W73" s="2" t="n">
        <f aca="false">100*(T73-U73)/U73</f>
        <v>0</v>
      </c>
      <c r="Y73" s="2" t="s">
        <v>401</v>
      </c>
      <c r="Z73" s="2" t="n">
        <v>41483</v>
      </c>
      <c r="AA73" s="2" t="n">
        <v>145.9371</v>
      </c>
      <c r="AB73" s="2" t="n">
        <f aca="false">100*(Z73-O73)/O73</f>
        <v>0.0099573590599607</v>
      </c>
      <c r="AD73" s="2" t="n">
        <f aca="false">100*(Z73-U73)/U73</f>
        <v>0</v>
      </c>
      <c r="AF73" s="2" t="s">
        <v>401</v>
      </c>
      <c r="AG73" s="2" t="n">
        <v>41502</v>
      </c>
      <c r="AH73" s="2" t="n">
        <v>458.8113</v>
      </c>
      <c r="AI73" s="2" t="n">
        <f aca="false">100*(AG73-$O73)/$O73</f>
        <v>0.0557638144711445</v>
      </c>
      <c r="AL73" s="2" t="s">
        <v>401</v>
      </c>
      <c r="AM73" s="2" t="n">
        <v>41502</v>
      </c>
      <c r="AN73" s="2" t="n">
        <v>108.3439</v>
      </c>
      <c r="AO73" s="2" t="n">
        <f aca="false">100*(AM73-$O73)/$O73</f>
        <v>0.0557638144711445</v>
      </c>
    </row>
    <row r="74" customFormat="false" ht="13.8" hidden="false" customHeight="false" outlineLevel="0" collapsed="false">
      <c r="A74" s="3" t="s">
        <v>147</v>
      </c>
      <c r="B74" s="2" t="n">
        <v>41608</v>
      </c>
      <c r="C74" s="2" t="n">
        <f aca="false">100*(B74-$O74)/$O74</f>
        <v>0.00999763468951667</v>
      </c>
      <c r="E74" s="3" t="s">
        <v>402</v>
      </c>
      <c r="F74" s="2" t="n">
        <v>41609</v>
      </c>
      <c r="G74" s="2" t="n">
        <v>52.9679</v>
      </c>
      <c r="H74" s="2" t="n">
        <f aca="false">100*(F74-$U74)/$U74</f>
        <v>0.00240338396462219</v>
      </c>
      <c r="I74" s="6"/>
      <c r="J74" s="6" t="n">
        <f aca="false">100*(F74-U74)/U74</f>
        <v>0.00240338396462219</v>
      </c>
      <c r="K74" s="6"/>
      <c r="M74" s="2" t="s">
        <v>402</v>
      </c>
      <c r="N74" s="2" t="n">
        <v>41608</v>
      </c>
      <c r="O74" s="2" t="n">
        <v>41603.8406</v>
      </c>
      <c r="P74" s="2" t="n">
        <v>21.146</v>
      </c>
      <c r="Q74" s="2" t="n">
        <f aca="false">100*(N74-O74)/O74</f>
        <v>0.00999763468951667</v>
      </c>
      <c r="S74" s="2" t="s">
        <v>402</v>
      </c>
      <c r="T74" s="2" t="n">
        <v>41608</v>
      </c>
      <c r="U74" s="2" t="n">
        <v>41608</v>
      </c>
      <c r="V74" s="2" t="n">
        <v>242.0586</v>
      </c>
      <c r="W74" s="2" t="n">
        <f aca="false">100*(T74-U74)/U74</f>
        <v>0</v>
      </c>
      <c r="Y74" s="2" t="s">
        <v>402</v>
      </c>
      <c r="Z74" s="2" t="n">
        <v>41608</v>
      </c>
      <c r="AA74" s="2" t="n">
        <v>79.5552</v>
      </c>
      <c r="AB74" s="2" t="n">
        <f aca="false">100*(Z74-O74)/O74</f>
        <v>0.00999763468951667</v>
      </c>
      <c r="AD74" s="2" t="n">
        <f aca="false">100*(Z74-U74)/U74</f>
        <v>0</v>
      </c>
      <c r="AF74" s="2" t="s">
        <v>402</v>
      </c>
      <c r="AG74" s="2" t="n">
        <v>41608</v>
      </c>
      <c r="AH74" s="2" t="n">
        <v>48.2835</v>
      </c>
      <c r="AI74" s="2" t="n">
        <f aca="false">100*(AG74-$O74)/$O74</f>
        <v>0.00999763468951667</v>
      </c>
      <c r="AL74" s="2" t="s">
        <v>402</v>
      </c>
      <c r="AM74" s="2" t="n">
        <v>41608</v>
      </c>
      <c r="AN74" s="2" t="n">
        <v>42.9512</v>
      </c>
      <c r="AO74" s="2" t="n">
        <f aca="false">100*(AM74-$O74)/$O74</f>
        <v>0.00999763468951667</v>
      </c>
    </row>
    <row r="75" customFormat="false" ht="13.8" hidden="false" customHeight="false" outlineLevel="0" collapsed="false">
      <c r="A75" s="3" t="s">
        <v>149</v>
      </c>
      <c r="B75" s="2" t="n">
        <v>40851</v>
      </c>
      <c r="C75" s="2" t="n">
        <f aca="false">100*(B75-$O75)/$O75</f>
        <v>0.00999169614230414</v>
      </c>
      <c r="E75" s="3" t="s">
        <v>403</v>
      </c>
      <c r="F75" s="2" t="n">
        <v>40851</v>
      </c>
      <c r="G75" s="2" t="n">
        <v>144.6354</v>
      </c>
      <c r="H75" s="2" t="n">
        <f aca="false">100*(F75-$U75)/$U75</f>
        <v>0</v>
      </c>
      <c r="I75" s="6"/>
      <c r="J75" s="6" t="n">
        <f aca="false">100*(F75-U75)/U75</f>
        <v>0</v>
      </c>
      <c r="K75" s="6"/>
      <c r="M75" s="2" t="s">
        <v>403</v>
      </c>
      <c r="N75" s="2" t="n">
        <v>40851</v>
      </c>
      <c r="O75" s="2" t="n">
        <v>40846.9187</v>
      </c>
      <c r="P75" s="2" t="n">
        <v>658.497</v>
      </c>
      <c r="Q75" s="2" t="n">
        <f aca="false">100*(N75-O75)/O75</f>
        <v>0.00999169614230414</v>
      </c>
      <c r="S75" s="2" t="s">
        <v>403</v>
      </c>
      <c r="T75" s="2" t="n">
        <v>40851</v>
      </c>
      <c r="U75" s="2" t="n">
        <v>40851</v>
      </c>
      <c r="V75" s="2" t="n">
        <v>605.11</v>
      </c>
      <c r="W75" s="2" t="n">
        <f aca="false">100*(T75-U75)/U75</f>
        <v>0</v>
      </c>
      <c r="Y75" s="2" t="s">
        <v>403</v>
      </c>
      <c r="Z75" s="2" t="n">
        <v>40851</v>
      </c>
      <c r="AA75" s="2" t="n">
        <v>135.2895</v>
      </c>
      <c r="AB75" s="2" t="n">
        <f aca="false">100*(Z75-O75)/O75</f>
        <v>0.00999169614230414</v>
      </c>
      <c r="AD75" s="2" t="n">
        <f aca="false">100*(Z75-U75)/U75</f>
        <v>0</v>
      </c>
      <c r="AF75" s="2" t="s">
        <v>403</v>
      </c>
      <c r="AG75" s="2" t="n">
        <v>40851</v>
      </c>
      <c r="AH75" s="2" t="n">
        <v>476.8487</v>
      </c>
      <c r="AI75" s="2" t="n">
        <f aca="false">100*(AG75-$O75)/$O75</f>
        <v>0.00999169614230414</v>
      </c>
      <c r="AL75" s="2" t="s">
        <v>403</v>
      </c>
      <c r="AM75" s="2" t="n">
        <v>40851</v>
      </c>
      <c r="AN75" s="2" t="n">
        <v>127.7534</v>
      </c>
      <c r="AO75" s="2" t="n">
        <f aca="false">100*(AM75-$O75)/$O75</f>
        <v>0.00999169614230414</v>
      </c>
    </row>
    <row r="76" customFormat="false" ht="13.8" hidden="false" customHeight="false" outlineLevel="0" collapsed="false">
      <c r="A76" s="3" t="s">
        <v>151</v>
      </c>
      <c r="B76" s="2" t="n">
        <v>41798</v>
      </c>
      <c r="C76" s="2" t="n">
        <f aca="false">100*(B76-$O76)/$O76</f>
        <v>0.00969685866450855</v>
      </c>
      <c r="E76" s="3" t="s">
        <v>404</v>
      </c>
      <c r="F76" s="2" t="n">
        <v>41807</v>
      </c>
      <c r="G76" s="2" t="n">
        <v>82.4553</v>
      </c>
      <c r="H76" s="2" t="n">
        <f aca="false">100*(F76-$U76)/$U76</f>
        <v>0.0215321307239581</v>
      </c>
      <c r="I76" s="6"/>
      <c r="J76" s="6" t="n">
        <f aca="false">100*(F76-U76)/U76</f>
        <v>0.0215321307239581</v>
      </c>
      <c r="K76" s="6"/>
      <c r="M76" s="2" t="s">
        <v>404</v>
      </c>
      <c r="N76" s="2" t="n">
        <v>41798</v>
      </c>
      <c r="O76" s="2" t="n">
        <v>41793.9473</v>
      </c>
      <c r="P76" s="2" t="n">
        <v>46.9846</v>
      </c>
      <c r="Q76" s="2" t="n">
        <f aca="false">100*(N76-O76)/O76</f>
        <v>0.00969685866450855</v>
      </c>
      <c r="S76" s="2" t="s">
        <v>404</v>
      </c>
      <c r="T76" s="2" t="n">
        <v>41798</v>
      </c>
      <c r="U76" s="2" t="n">
        <v>41798</v>
      </c>
      <c r="V76" s="2" t="n">
        <v>282.8328</v>
      </c>
      <c r="W76" s="2" t="n">
        <f aca="false">100*(T76-U76)/U76</f>
        <v>0</v>
      </c>
      <c r="Y76" s="2" t="s">
        <v>404</v>
      </c>
      <c r="Z76" s="2" t="n">
        <v>41807</v>
      </c>
      <c r="AA76" s="2" t="n">
        <v>98.6621</v>
      </c>
      <c r="AB76" s="2" t="n">
        <f aca="false">100*(Z76-O76)/O76</f>
        <v>0.0312310773287504</v>
      </c>
      <c r="AD76" s="2" t="n">
        <f aca="false">100*(Z76-U76)/U76</f>
        <v>0.0215321307239581</v>
      </c>
      <c r="AF76" s="2" t="s">
        <v>404</v>
      </c>
      <c r="AG76" s="2" t="n">
        <v>41803</v>
      </c>
      <c r="AH76" s="2" t="n">
        <v>149.7729</v>
      </c>
      <c r="AI76" s="2" t="n">
        <f aca="false">100*(AG76-$O76)/$O76</f>
        <v>0.0216603134779762</v>
      </c>
      <c r="AL76" s="2" t="s">
        <v>404</v>
      </c>
      <c r="AM76" s="2" t="n">
        <v>41807</v>
      </c>
      <c r="AN76" s="2" t="n">
        <v>69.1681</v>
      </c>
      <c r="AO76" s="2" t="n">
        <f aca="false">100*(AM76-$O76)/$O76</f>
        <v>0.0312310773287504</v>
      </c>
    </row>
    <row r="77" customFormat="false" ht="13.8" hidden="false" customHeight="false" outlineLevel="0" collapsed="false">
      <c r="A77" s="3" t="s">
        <v>153</v>
      </c>
      <c r="B77" s="2" t="n">
        <v>41385</v>
      </c>
      <c r="C77" s="2" t="n">
        <f aca="false">100*(B77-$O77)/$O77</f>
        <v>0.00998287397009769</v>
      </c>
      <c r="E77" s="3" t="s">
        <v>405</v>
      </c>
      <c r="F77" s="2" t="n">
        <v>41385</v>
      </c>
      <c r="G77" s="2" t="n">
        <v>42.546</v>
      </c>
      <c r="H77" s="2" t="n">
        <f aca="false">100*(F77-$U77)/$U77</f>
        <v>0</v>
      </c>
      <c r="I77" s="6"/>
      <c r="J77" s="6" t="n">
        <f aca="false">100*(F77-U77)/U77</f>
        <v>0</v>
      </c>
      <c r="K77" s="6"/>
      <c r="M77" s="2" t="s">
        <v>405</v>
      </c>
      <c r="N77" s="2" t="n">
        <v>41385</v>
      </c>
      <c r="O77" s="2" t="n">
        <v>41380.869</v>
      </c>
      <c r="P77" s="2" t="n">
        <v>45.5854</v>
      </c>
      <c r="Q77" s="2" t="n">
        <f aca="false">100*(N77-O77)/O77</f>
        <v>0.00998287397009769</v>
      </c>
      <c r="S77" s="2" t="s">
        <v>405</v>
      </c>
      <c r="T77" s="2" t="n">
        <v>41385</v>
      </c>
      <c r="U77" s="2" t="n">
        <v>41385</v>
      </c>
      <c r="V77" s="2" t="n">
        <v>149.0505</v>
      </c>
      <c r="W77" s="2" t="n">
        <f aca="false">100*(T77-U77)/U77</f>
        <v>0</v>
      </c>
      <c r="Y77" s="2" t="s">
        <v>405</v>
      </c>
      <c r="Z77" s="2" t="n">
        <v>41385</v>
      </c>
      <c r="AA77" s="2" t="n">
        <v>39.2697</v>
      </c>
      <c r="AB77" s="2" t="n">
        <f aca="false">100*(Z77-O77)/O77</f>
        <v>0.00998287397009769</v>
      </c>
      <c r="AD77" s="2" t="n">
        <f aca="false">100*(Z77-U77)/U77</f>
        <v>0</v>
      </c>
      <c r="AF77" s="2" t="s">
        <v>405</v>
      </c>
      <c r="AG77" s="2" t="n">
        <v>41385</v>
      </c>
      <c r="AH77" s="2" t="n">
        <v>40.6769</v>
      </c>
      <c r="AI77" s="2" t="n">
        <f aca="false">100*(AG77-$O77)/$O77</f>
        <v>0.00998287397009769</v>
      </c>
      <c r="AL77" s="2" t="s">
        <v>405</v>
      </c>
      <c r="AM77" s="2" t="n">
        <v>41385</v>
      </c>
      <c r="AN77" s="2" t="n">
        <v>34.2002</v>
      </c>
      <c r="AO77" s="2" t="n">
        <f aca="false">100*(AM77-$O77)/$O77</f>
        <v>0.00998287397009769</v>
      </c>
    </row>
    <row r="78" customFormat="false" ht="13.8" hidden="false" customHeight="false" outlineLevel="0" collapsed="false">
      <c r="A78" s="3" t="s">
        <v>155</v>
      </c>
      <c r="B78" s="2" t="n">
        <v>41508</v>
      </c>
      <c r="C78" s="2" t="n">
        <f aca="false">100*(B78-$O78)/$O78</f>
        <v>0.0099995543063969</v>
      </c>
      <c r="E78" s="3" t="s">
        <v>406</v>
      </c>
      <c r="F78" s="2" t="n">
        <v>41516</v>
      </c>
      <c r="G78" s="2" t="n">
        <v>191.2601</v>
      </c>
      <c r="H78" s="2" t="n">
        <f aca="false">100*(F78-$U78)/$U78</f>
        <v>0.0192733930808519</v>
      </c>
      <c r="I78" s="6"/>
      <c r="J78" s="6" t="n">
        <f aca="false">100*(F78-U78)/U78</f>
        <v>0.0192733930808519</v>
      </c>
      <c r="K78" s="6"/>
      <c r="M78" s="2" t="s">
        <v>406</v>
      </c>
      <c r="N78" s="2" t="n">
        <v>41508</v>
      </c>
      <c r="O78" s="2" t="n">
        <v>41503.8498</v>
      </c>
      <c r="P78" s="2" t="n">
        <v>251.9101</v>
      </c>
      <c r="Q78" s="2" t="n">
        <f aca="false">100*(N78-O78)/O78</f>
        <v>0.0099995543063969</v>
      </c>
      <c r="S78" s="2" t="s">
        <v>406</v>
      </c>
      <c r="T78" s="2" t="n">
        <v>41508</v>
      </c>
      <c r="U78" s="2" t="n">
        <v>41508</v>
      </c>
      <c r="V78" s="2" t="n">
        <v>854.7901</v>
      </c>
      <c r="W78" s="2" t="n">
        <f aca="false">100*(T78-U78)/U78</f>
        <v>0</v>
      </c>
      <c r="Y78" s="2" t="s">
        <v>406</v>
      </c>
      <c r="Z78" s="2" t="n">
        <v>41516</v>
      </c>
      <c r="AA78" s="2" t="n">
        <v>226.4968</v>
      </c>
      <c r="AB78" s="2" t="n">
        <f aca="false">100*(Z78-O78)/O78</f>
        <v>0.0292748746406566</v>
      </c>
      <c r="AD78" s="2" t="n">
        <f aca="false">100*(Z78-U78)/U78</f>
        <v>0.0192733930808519</v>
      </c>
      <c r="AF78" s="2" t="s">
        <v>406</v>
      </c>
      <c r="AG78" s="2" t="n">
        <v>41508</v>
      </c>
      <c r="AH78" s="2" t="n">
        <v>202.1447</v>
      </c>
      <c r="AI78" s="2" t="n">
        <f aca="false">100*(AG78-$O78)/$O78</f>
        <v>0.0099995543063969</v>
      </c>
      <c r="AL78" s="2" t="s">
        <v>406</v>
      </c>
      <c r="AM78" s="2" t="n">
        <v>41516</v>
      </c>
      <c r="AN78" s="2" t="n">
        <v>139.5896</v>
      </c>
      <c r="AO78" s="2" t="n">
        <f aca="false">100*(AM78-$O78)/$O78</f>
        <v>0.0292748746406566</v>
      </c>
    </row>
    <row r="79" customFormat="false" ht="13.8" hidden="false" customHeight="false" outlineLevel="0" collapsed="false">
      <c r="A79" s="3" t="s">
        <v>157</v>
      </c>
      <c r="B79" s="2" t="n">
        <v>43211</v>
      </c>
      <c r="C79" s="2" t="n">
        <f aca="false">100*(B79-$O79)/$O79</f>
        <v>-0.0570790163498921</v>
      </c>
      <c r="E79" s="3" t="s">
        <v>407</v>
      </c>
      <c r="F79" s="2" t="n">
        <v>43240</v>
      </c>
      <c r="G79" s="2" t="n">
        <v>104.2175</v>
      </c>
      <c r="H79" s="2" t="n">
        <f aca="false">100*(F79-$U79)/$U79</f>
        <v>0</v>
      </c>
      <c r="I79" s="6"/>
      <c r="J79" s="6" t="n">
        <f aca="false">100*(F79-U79)/U79</f>
        <v>0</v>
      </c>
      <c r="K79" s="6"/>
      <c r="M79" s="2" t="s">
        <v>407</v>
      </c>
      <c r="N79" s="2" t="n">
        <v>43240</v>
      </c>
      <c r="O79" s="2" t="n">
        <v>43235.6785</v>
      </c>
      <c r="P79" s="2" t="n">
        <v>372.1405</v>
      </c>
      <c r="Q79" s="2" t="n">
        <f aca="false">100*(N79-O79)/O79</f>
        <v>0.00999521726020374</v>
      </c>
      <c r="S79" s="2" t="s">
        <v>407</v>
      </c>
      <c r="T79" s="2" t="n">
        <v>43240</v>
      </c>
      <c r="U79" s="2" t="n">
        <v>43240</v>
      </c>
      <c r="V79" s="2" t="n">
        <v>658.9764</v>
      </c>
      <c r="W79" s="2" t="n">
        <f aca="false">100*(T79-U79)/U79</f>
        <v>0</v>
      </c>
      <c r="Y79" s="2" t="s">
        <v>407</v>
      </c>
      <c r="Z79" s="2" t="n">
        <v>43247</v>
      </c>
      <c r="AA79" s="2" t="n">
        <v>144.1982</v>
      </c>
      <c r="AB79" s="2" t="n">
        <f aca="false">100*(Z79-O79)/O79</f>
        <v>0.0261855495109165</v>
      </c>
      <c r="AD79" s="2" t="n">
        <f aca="false">100*(Z79-U79)/U79</f>
        <v>0.0161887141535615</v>
      </c>
      <c r="AF79" s="2" t="s">
        <v>407</v>
      </c>
      <c r="AG79" s="2" t="n">
        <v>43247</v>
      </c>
      <c r="AH79" s="2" t="n">
        <v>200.7348</v>
      </c>
      <c r="AI79" s="2" t="n">
        <f aca="false">100*(AG79-$O79)/$O79</f>
        <v>0.0261855495109165</v>
      </c>
      <c r="AL79" s="2" t="s">
        <v>407</v>
      </c>
      <c r="AM79" s="2" t="n">
        <v>43247</v>
      </c>
      <c r="AN79" s="2" t="n">
        <v>141.8944</v>
      </c>
      <c r="AO79" s="2" t="n">
        <f aca="false">100*(AM79-$O79)/$O79</f>
        <v>0.0261855495109165</v>
      </c>
    </row>
    <row r="80" customFormat="false" ht="13.8" hidden="false" customHeight="false" outlineLevel="0" collapsed="false">
      <c r="A80" s="3" t="s">
        <v>159</v>
      </c>
      <c r="B80" s="2" t="n">
        <v>42410</v>
      </c>
      <c r="C80" s="2" t="n">
        <f aca="false">100*(B80-$O80)/$O80</f>
        <v>0.0428681684998511</v>
      </c>
      <c r="E80" s="3" t="s">
        <v>408</v>
      </c>
      <c r="F80" s="2" t="n">
        <v>42410</v>
      </c>
      <c r="G80" s="2" t="n">
        <v>297.8224</v>
      </c>
      <c r="H80" s="2" t="n">
        <f aca="false">100*(F80-$U80)/$U80</f>
        <v>0</v>
      </c>
      <c r="I80" s="6"/>
      <c r="J80" s="6" t="n">
        <f aca="false">100*(F80-U80)/U80</f>
        <v>0</v>
      </c>
      <c r="K80" s="6"/>
      <c r="M80" s="2" t="s">
        <v>408</v>
      </c>
      <c r="N80" s="2" t="n">
        <v>42410</v>
      </c>
      <c r="O80" s="2" t="n">
        <v>42391.8274</v>
      </c>
      <c r="P80" s="2" t="n">
        <v>3600.1735</v>
      </c>
      <c r="Q80" s="2" t="n">
        <f aca="false">100*(N80-O80)/O80</f>
        <v>0.0428681684998511</v>
      </c>
      <c r="S80" s="2" t="s">
        <v>408</v>
      </c>
      <c r="T80" s="2" t="n">
        <v>42410</v>
      </c>
      <c r="U80" s="2" t="n">
        <v>42410</v>
      </c>
      <c r="V80" s="2" t="n">
        <v>2916.9523</v>
      </c>
      <c r="W80" s="2" t="n">
        <f aca="false">100*(T80-U80)/U80</f>
        <v>0</v>
      </c>
      <c r="Y80" s="2" t="s">
        <v>408</v>
      </c>
      <c r="Z80" s="2" t="n">
        <v>42410</v>
      </c>
      <c r="AA80" s="2" t="n">
        <v>269.1752</v>
      </c>
      <c r="AB80" s="2" t="n">
        <f aca="false">100*(Z80-O80)/O80</f>
        <v>0.0428681684998511</v>
      </c>
      <c r="AD80" s="2" t="n">
        <f aca="false">100*(Z80-U80)/U80</f>
        <v>0</v>
      </c>
      <c r="AF80" s="2" t="s">
        <v>408</v>
      </c>
      <c r="AG80" s="2" t="n">
        <v>42410</v>
      </c>
      <c r="AH80" s="2" t="n">
        <v>281.2316</v>
      </c>
      <c r="AI80" s="2" t="n">
        <f aca="false">100*(AG80-$O80)/$O80</f>
        <v>0.0428681684998511</v>
      </c>
      <c r="AL80" s="2" t="s">
        <v>408</v>
      </c>
      <c r="AM80" s="2" t="n">
        <v>42410</v>
      </c>
      <c r="AN80" s="2" t="n">
        <v>153.2121</v>
      </c>
      <c r="AO80" s="2" t="n">
        <f aca="false">100*(AM80-$O80)/$O80</f>
        <v>0.0428681684998511</v>
      </c>
    </row>
    <row r="81" customFormat="false" ht="13.8" hidden="false" customHeight="false" outlineLevel="0" collapsed="false">
      <c r="A81" s="3" t="s">
        <v>161</v>
      </c>
      <c r="B81" s="2" t="n">
        <v>41870</v>
      </c>
      <c r="C81" s="2" t="n">
        <f aca="false">100*(B81-$O81)/$O81</f>
        <v>0.00761175679834913</v>
      </c>
      <c r="E81" s="3" t="s">
        <v>409</v>
      </c>
      <c r="F81" s="2" t="n">
        <v>41872</v>
      </c>
      <c r="G81" s="2" t="n">
        <v>308.0695</v>
      </c>
      <c r="H81" s="2" t="n">
        <f aca="false">100*(F81-$U81)/$U81</f>
        <v>0.00477668975400048</v>
      </c>
      <c r="I81" s="6" t="n">
        <f aca="false">AVERAGE(H72:H81)</f>
        <v>0.00937874922754997</v>
      </c>
      <c r="J81" s="6" t="n">
        <f aca="false">100*(F81-U81)/U81</f>
        <v>0.00477668975400048</v>
      </c>
      <c r="K81" s="6" t="n">
        <f aca="false">AVERAGE(J72:J81)</f>
        <v>0.00937874922754998</v>
      </c>
      <c r="M81" s="2" t="s">
        <v>409</v>
      </c>
      <c r="N81" s="2" t="n">
        <v>41871</v>
      </c>
      <c r="O81" s="2" t="n">
        <v>41866.8132</v>
      </c>
      <c r="P81" s="2" t="n">
        <v>1180.9201</v>
      </c>
      <c r="Q81" s="2" t="n">
        <f aca="false">100*(N81-O81)/O81</f>
        <v>0.0100002834703529</v>
      </c>
      <c r="R81" s="7" t="n">
        <f aca="false">AVERAGE(Q72:Q81)</f>
        <v>0.0132488524098118</v>
      </c>
      <c r="S81" s="2" t="s">
        <v>409</v>
      </c>
      <c r="T81" s="2" t="n">
        <v>41870</v>
      </c>
      <c r="U81" s="2" t="n">
        <v>41870</v>
      </c>
      <c r="V81" s="2" t="n">
        <v>1771.2647</v>
      </c>
      <c r="W81" s="2" t="n">
        <f aca="false">100*(T81-U81)/U81</f>
        <v>0</v>
      </c>
      <c r="X81" s="7" t="n">
        <f aca="false">AVERAGE(W72:W81)</f>
        <v>0</v>
      </c>
      <c r="Y81" s="2" t="s">
        <v>409</v>
      </c>
      <c r="Z81" s="2" t="n">
        <v>41872</v>
      </c>
      <c r="AA81" s="2" t="n">
        <v>313.3229</v>
      </c>
      <c r="AB81" s="2" t="n">
        <f aca="false">100*(Z81-O81)/O81</f>
        <v>0.0123888101423567</v>
      </c>
      <c r="AC81" s="6" t="n">
        <f aca="false">AVERAGE(AB72:AB81)</f>
        <v>0.0191876922019337</v>
      </c>
      <c r="AD81" s="2" t="n">
        <f aca="false">100*(Z81-U81)/U81</f>
        <v>0.00477668975400048</v>
      </c>
      <c r="AE81" s="6" t="n">
        <f aca="false">AVERAGE(AD72:AD81)</f>
        <v>0.0061770927712372</v>
      </c>
      <c r="AF81" s="2" t="s">
        <v>409</v>
      </c>
      <c r="AG81" s="2" t="n">
        <v>41872</v>
      </c>
      <c r="AH81" s="2" t="n">
        <v>264.7792</v>
      </c>
      <c r="AI81" s="2" t="n">
        <f aca="false">100*(AG81-$O81)/$O81</f>
        <v>0.0123888101423567</v>
      </c>
      <c r="AJ81" s="6" t="n">
        <f aca="false">AVERAGE(AI72:AI81)</f>
        <v>0.0208837293245487</v>
      </c>
      <c r="AL81" s="2" t="s">
        <v>409</v>
      </c>
      <c r="AM81" s="2" t="n">
        <v>41872</v>
      </c>
      <c r="AN81" s="2" t="n">
        <v>142.9172</v>
      </c>
      <c r="AO81" s="2" t="n">
        <f aca="false">100*(AM81-$O81)/$O81</f>
        <v>0.0123888101423567</v>
      </c>
      <c r="AP81" s="6" t="n">
        <f aca="false">AVERAGE(AO72:AO81)</f>
        <v>0.023768337743052</v>
      </c>
    </row>
    <row r="82" customFormat="false" ht="13.8" hidden="false" customHeight="false" outlineLevel="0" collapsed="false">
      <c r="A82" s="3" t="s">
        <v>163</v>
      </c>
      <c r="B82" s="2" t="n">
        <v>73817</v>
      </c>
      <c r="C82" s="2" t="n">
        <f aca="false">100*(B82-$O82)/$O82</f>
        <v>0.268655529957751</v>
      </c>
      <c r="E82" s="3" t="s">
        <v>410</v>
      </c>
      <c r="F82" s="2" t="n">
        <v>73773</v>
      </c>
      <c r="G82" s="2" t="n">
        <v>652.9154</v>
      </c>
      <c r="H82" s="2" t="n">
        <f aca="false">100*(F82-$U82)/$U82</f>
        <v>0.107200043422802</v>
      </c>
      <c r="I82" s="6"/>
      <c r="J82" s="6" t="n">
        <f aca="false">100*(F82-U82)/U82</f>
        <v>0.107200043422802</v>
      </c>
      <c r="K82" s="6"/>
      <c r="M82" s="2" t="s">
        <v>410</v>
      </c>
      <c r="N82" s="2" t="n">
        <v>73694</v>
      </c>
      <c r="O82" s="2" t="n">
        <v>73619.2179</v>
      </c>
      <c r="P82" s="2" t="n">
        <v>3600.2861</v>
      </c>
      <c r="Q82" s="2" t="n">
        <f aca="false">100*(N82-O82)/O82</f>
        <v>0.101579590402028</v>
      </c>
      <c r="S82" s="2" t="s">
        <v>410</v>
      </c>
      <c r="T82" s="2" t="n">
        <v>73694</v>
      </c>
      <c r="U82" s="2" t="n">
        <v>73694</v>
      </c>
      <c r="V82" s="2" t="n">
        <v>2670.178</v>
      </c>
      <c r="W82" s="2" t="n">
        <f aca="false">100*(T82-U82)/U82</f>
        <v>0</v>
      </c>
      <c r="Y82" s="2" t="s">
        <v>410</v>
      </c>
      <c r="Z82" s="2" t="n">
        <v>73694</v>
      </c>
      <c r="AA82" s="2" t="n">
        <v>342.3005</v>
      </c>
      <c r="AB82" s="2" t="n">
        <f aca="false">100*(Z82-O82)/O82</f>
        <v>0.101579590402028</v>
      </c>
      <c r="AD82" s="2" t="n">
        <f aca="false">100*(Z82-U82)/U82</f>
        <v>0</v>
      </c>
      <c r="AF82" s="2" t="s">
        <v>410</v>
      </c>
      <c r="AG82" s="2" t="n">
        <v>73822</v>
      </c>
      <c r="AH82" s="2" t="n">
        <v>831.0245</v>
      </c>
      <c r="AI82" s="2" t="n">
        <f aca="false">100*(AG82-$O82)/$O82</f>
        <v>0.27544723481774</v>
      </c>
      <c r="AL82" s="2" t="s">
        <v>410</v>
      </c>
      <c r="AM82" s="2" t="n">
        <v>73822</v>
      </c>
      <c r="AN82" s="2" t="n">
        <v>542.9134</v>
      </c>
      <c r="AO82" s="2" t="n">
        <f aca="false">100*(AM82-$O82)/$O82</f>
        <v>0.27544723481774</v>
      </c>
    </row>
    <row r="83" customFormat="false" ht="13.8" hidden="false" customHeight="false" outlineLevel="0" collapsed="false">
      <c r="A83" s="3" t="s">
        <v>165</v>
      </c>
      <c r="B83" s="2" t="n">
        <v>76902</v>
      </c>
      <c r="C83" s="2" t="n">
        <f aca="false">100*(B83-$O83)/$O83</f>
        <v>0.00986846746368055</v>
      </c>
      <c r="E83" s="3" t="s">
        <v>411</v>
      </c>
      <c r="F83" s="2" t="n">
        <v>76955</v>
      </c>
      <c r="G83" s="2" t="n">
        <v>390.1884</v>
      </c>
      <c r="H83" s="2" t="n">
        <f aca="false">100*(F83-$U83)/$U83</f>
        <v>0.0689188837741541</v>
      </c>
      <c r="I83" s="6"/>
      <c r="J83" s="6" t="n">
        <f aca="false">100*(F83-U83)/U83</f>
        <v>0.0689188837741541</v>
      </c>
      <c r="K83" s="6"/>
      <c r="M83" s="2" t="s">
        <v>411</v>
      </c>
      <c r="N83" s="2" t="n">
        <v>76902</v>
      </c>
      <c r="O83" s="2" t="n">
        <v>76894.4117</v>
      </c>
      <c r="P83" s="2" t="n">
        <v>407.4959</v>
      </c>
      <c r="Q83" s="2" t="n">
        <f aca="false">100*(N83-O83)/O83</f>
        <v>0.00986846746368055</v>
      </c>
      <c r="S83" s="2" t="s">
        <v>411</v>
      </c>
      <c r="T83" s="2" t="n">
        <v>76902</v>
      </c>
      <c r="U83" s="2" t="n">
        <v>76902</v>
      </c>
      <c r="V83" s="2" t="n">
        <v>272.9752</v>
      </c>
      <c r="W83" s="2" t="n">
        <f aca="false">100*(T83-U83)/U83</f>
        <v>0</v>
      </c>
      <c r="Y83" s="2" t="s">
        <v>411</v>
      </c>
      <c r="Z83" s="2" t="n">
        <v>76955</v>
      </c>
      <c r="AA83" s="2" t="n">
        <v>329.7976</v>
      </c>
      <c r="AB83" s="2" t="n">
        <f aca="false">100*(Z83-O83)/O83</f>
        <v>0.0787941524754563</v>
      </c>
      <c r="AD83" s="2" t="n">
        <f aca="false">100*(Z83-U83)/U83</f>
        <v>0.0689188837741541</v>
      </c>
      <c r="AF83" s="2" t="s">
        <v>411</v>
      </c>
      <c r="AG83" s="2" t="n">
        <v>76902</v>
      </c>
      <c r="AH83" s="2" t="n">
        <v>349.1269</v>
      </c>
      <c r="AI83" s="2" t="n">
        <f aca="false">100*(AG83-$O83)/$O83</f>
        <v>0.00986846746368055</v>
      </c>
      <c r="AL83" s="2" t="s">
        <v>411</v>
      </c>
      <c r="AM83" s="2" t="n">
        <v>76902</v>
      </c>
      <c r="AN83" s="2" t="n">
        <v>342.591</v>
      </c>
      <c r="AO83" s="2" t="n">
        <f aca="false">100*(AM83-$O83)/$O83</f>
        <v>0.00986846746368055</v>
      </c>
    </row>
    <row r="84" customFormat="false" ht="13.8" hidden="false" customHeight="false" outlineLevel="0" collapsed="false">
      <c r="A84" s="3" t="s">
        <v>167</v>
      </c>
      <c r="B84" s="2" t="n">
        <v>81037</v>
      </c>
      <c r="C84" s="2" t="n">
        <f aca="false">100*(B84-$O84)/$O84</f>
        <v>0.00994274348400711</v>
      </c>
      <c r="E84" s="3" t="s">
        <v>412</v>
      </c>
      <c r="F84" s="2" t="n">
        <v>81037</v>
      </c>
      <c r="G84" s="2" t="n">
        <v>313.3749</v>
      </c>
      <c r="H84" s="2" t="n">
        <f aca="false">100*(F84-$U84)/$U84</f>
        <v>0</v>
      </c>
      <c r="I84" s="6"/>
      <c r="J84" s="6" t="n">
        <f aca="false">100*(F84-U84)/U84</f>
        <v>0</v>
      </c>
      <c r="K84" s="6"/>
      <c r="M84" s="2" t="s">
        <v>412</v>
      </c>
      <c r="N84" s="2" t="n">
        <v>81037</v>
      </c>
      <c r="O84" s="2" t="n">
        <v>81028.9435</v>
      </c>
      <c r="P84" s="2" t="n">
        <v>698.9093</v>
      </c>
      <c r="Q84" s="2" t="n">
        <f aca="false">100*(N84-O84)/O84</f>
        <v>0.00994274348400711</v>
      </c>
      <c r="S84" s="2" t="s">
        <v>412</v>
      </c>
      <c r="T84" s="2" t="n">
        <v>81037</v>
      </c>
      <c r="U84" s="2" t="n">
        <v>81037</v>
      </c>
      <c r="V84" s="2" t="n">
        <v>404.7829</v>
      </c>
      <c r="W84" s="2" t="n">
        <f aca="false">100*(T84-U84)/U84</f>
        <v>0</v>
      </c>
      <c r="Y84" s="2" t="s">
        <v>412</v>
      </c>
      <c r="Z84" s="2" t="n">
        <v>81048</v>
      </c>
      <c r="AA84" s="2" t="n">
        <v>325.6909</v>
      </c>
      <c r="AB84" s="2" t="n">
        <f aca="false">100*(Z84-O84)/O84</f>
        <v>0.0235181395398621</v>
      </c>
      <c r="AD84" s="2" t="n">
        <f aca="false">100*(Z84-U84)/U84</f>
        <v>0.0135740464232388</v>
      </c>
      <c r="AF84" s="2" t="s">
        <v>412</v>
      </c>
      <c r="AG84" s="2" t="n">
        <v>81037</v>
      </c>
      <c r="AH84" s="2" t="n">
        <v>543.0965</v>
      </c>
      <c r="AI84" s="2" t="n">
        <f aca="false">100*(AG84-$O84)/$O84</f>
        <v>0.00994274348400711</v>
      </c>
      <c r="AL84" s="2" t="s">
        <v>412</v>
      </c>
      <c r="AM84" s="2" t="n">
        <v>81037</v>
      </c>
      <c r="AN84" s="2" t="n">
        <v>294.1286</v>
      </c>
      <c r="AO84" s="2" t="n">
        <f aca="false">100*(AM84-$O84)/$O84</f>
        <v>0.00994274348400711</v>
      </c>
    </row>
    <row r="85" customFormat="false" ht="13.8" hidden="false" customHeight="false" outlineLevel="0" collapsed="false">
      <c r="A85" s="3" t="s">
        <v>169</v>
      </c>
      <c r="B85" s="2" t="n">
        <v>80622</v>
      </c>
      <c r="C85" s="2" t="n">
        <f aca="false">100*(B85-$O85)/$O85</f>
        <v>0.0944197706122573</v>
      </c>
      <c r="E85" s="3" t="s">
        <v>413</v>
      </c>
      <c r="F85" s="2" t="n">
        <v>80622</v>
      </c>
      <c r="G85" s="2" t="n">
        <v>289.5054</v>
      </c>
      <c r="H85" s="2" t="n">
        <f aca="false">100*(F85-$U85)/$U85</f>
        <v>0.0844154231943789</v>
      </c>
      <c r="I85" s="6"/>
      <c r="J85" s="6" t="n">
        <f aca="false">100*(F85-U85)/U85</f>
        <v>0.0844154231943789</v>
      </c>
      <c r="K85" s="6"/>
      <c r="M85" s="2" t="s">
        <v>413</v>
      </c>
      <c r="N85" s="2" t="n">
        <v>80554</v>
      </c>
      <c r="O85" s="2" t="n">
        <v>80545.9487</v>
      </c>
      <c r="P85" s="2" t="n">
        <v>3061.3891</v>
      </c>
      <c r="Q85" s="2" t="n">
        <f aca="false">100*(N85-O85)/O85</f>
        <v>0.00999590932871643</v>
      </c>
      <c r="S85" s="2" t="s">
        <v>413</v>
      </c>
      <c r="T85" s="2" t="n">
        <v>80554</v>
      </c>
      <c r="U85" s="2" t="n">
        <v>80554</v>
      </c>
      <c r="V85" s="2" t="n">
        <v>1168.8677</v>
      </c>
      <c r="W85" s="2" t="n">
        <f aca="false">100*(T85-U85)/U85</f>
        <v>0</v>
      </c>
      <c r="Y85" s="2" t="s">
        <v>413</v>
      </c>
      <c r="Z85" s="2" t="n">
        <v>80554</v>
      </c>
      <c r="AA85" s="2" t="n">
        <v>452.1354</v>
      </c>
      <c r="AB85" s="2" t="n">
        <f aca="false">100*(Z85-O85)/O85</f>
        <v>0.00999590932871643</v>
      </c>
      <c r="AD85" s="2" t="n">
        <f aca="false">100*(Z85-U85)/U85</f>
        <v>0</v>
      </c>
      <c r="AF85" s="2" t="s">
        <v>413</v>
      </c>
      <c r="AG85" s="2" t="n">
        <v>80664</v>
      </c>
      <c r="AH85" s="2" t="n">
        <v>625.7778</v>
      </c>
      <c r="AI85" s="2" t="n">
        <f aca="false">100*(AG85-$O85)/$O85</f>
        <v>0.146563920228562</v>
      </c>
      <c r="AL85" s="2" t="s">
        <v>413</v>
      </c>
      <c r="AM85" s="2" t="n">
        <v>80664</v>
      </c>
      <c r="AN85" s="2" t="n">
        <v>279.1321</v>
      </c>
      <c r="AO85" s="2" t="n">
        <f aca="false">100*(AM85-$O85)/$O85</f>
        <v>0.146563920228562</v>
      </c>
    </row>
    <row r="86" customFormat="false" ht="13.8" hidden="false" customHeight="false" outlineLevel="0" collapsed="false">
      <c r="A86" s="3" t="s">
        <v>171</v>
      </c>
      <c r="B86" s="2" t="n">
        <v>74699</v>
      </c>
      <c r="C86" s="2" t="n">
        <f aca="false">100*(B86-$O86)/$O86</f>
        <v>0.00994034462419233</v>
      </c>
      <c r="E86" s="3" t="s">
        <v>414</v>
      </c>
      <c r="F86" s="2" t="n">
        <v>74727</v>
      </c>
      <c r="G86" s="2" t="n">
        <v>306.7874</v>
      </c>
      <c r="H86" s="2" t="n">
        <f aca="false">100*(F86-$U86)/$U86</f>
        <v>0.0374837681896679</v>
      </c>
      <c r="I86" s="6"/>
      <c r="J86" s="6" t="n">
        <f aca="false">100*(F86-U86)/U86</f>
        <v>0.0374837681896679</v>
      </c>
      <c r="K86" s="6"/>
      <c r="M86" s="2" t="s">
        <v>414</v>
      </c>
      <c r="N86" s="2" t="n">
        <v>74699</v>
      </c>
      <c r="O86" s="2" t="n">
        <v>74691.5754</v>
      </c>
      <c r="P86" s="2" t="n">
        <v>483.4508</v>
      </c>
      <c r="Q86" s="2" t="n">
        <f aca="false">100*(N86-O86)/O86</f>
        <v>0.00994034462419233</v>
      </c>
      <c r="S86" s="2" t="s">
        <v>414</v>
      </c>
      <c r="T86" s="2" t="n">
        <v>74699</v>
      </c>
      <c r="U86" s="2" t="n">
        <v>74699</v>
      </c>
      <c r="V86" s="2" t="n">
        <v>388.7276</v>
      </c>
      <c r="W86" s="2" t="n">
        <f aca="false">100*(T86-U86)/U86</f>
        <v>0</v>
      </c>
      <c r="Y86" s="2" t="s">
        <v>414</v>
      </c>
      <c r="Z86" s="2" t="n">
        <v>74727</v>
      </c>
      <c r="AA86" s="2" t="n">
        <v>317.9446</v>
      </c>
      <c r="AB86" s="2" t="n">
        <f aca="false">100*(Z86-O86)/O86</f>
        <v>0.0474278388295964</v>
      </c>
      <c r="AD86" s="2" t="n">
        <f aca="false">100*(Z86-U86)/U86</f>
        <v>0.0374837681896679</v>
      </c>
      <c r="AF86" s="2" t="s">
        <v>414</v>
      </c>
      <c r="AG86" s="2" t="n">
        <v>74699</v>
      </c>
      <c r="AH86" s="2" t="n">
        <v>445.4866</v>
      </c>
      <c r="AI86" s="2" t="n">
        <f aca="false">100*(AG86-$O86)/$O86</f>
        <v>0.00994034462419233</v>
      </c>
      <c r="AL86" s="2" t="s">
        <v>414</v>
      </c>
      <c r="AM86" s="2" t="n">
        <v>74699</v>
      </c>
      <c r="AN86" s="2" t="n">
        <v>268.1034</v>
      </c>
      <c r="AO86" s="2" t="n">
        <f aca="false">100*(AM86-$O86)/$O86</f>
        <v>0.00994034462419233</v>
      </c>
    </row>
    <row r="87" customFormat="false" ht="13.8" hidden="false" customHeight="false" outlineLevel="0" collapsed="false">
      <c r="A87" s="3" t="s">
        <v>173</v>
      </c>
      <c r="B87" s="2" t="n">
        <v>82302</v>
      </c>
      <c r="C87" s="2" t="n">
        <f aca="false">100*(B87-$O87)/$O87</f>
        <v>0.0431842989725821</v>
      </c>
      <c r="E87" s="3" t="s">
        <v>415</v>
      </c>
      <c r="F87" s="2" t="n">
        <v>82432</v>
      </c>
      <c r="G87" s="2" t="n">
        <v>516.6242</v>
      </c>
      <c r="H87" s="2" t="n">
        <f aca="false">100*(F87-$U87)/$U87</f>
        <v>0.157954849213871</v>
      </c>
      <c r="I87" s="6"/>
      <c r="J87" s="6" t="n">
        <f aca="false">100*(F87-U87)/U87</f>
        <v>0.157954849213871</v>
      </c>
      <c r="K87" s="6"/>
      <c r="M87" s="2" t="s">
        <v>415</v>
      </c>
      <c r="N87" s="2" t="n">
        <v>82302</v>
      </c>
      <c r="O87" s="2" t="n">
        <v>82266.4738</v>
      </c>
      <c r="P87" s="2" t="n">
        <v>3600.1183</v>
      </c>
      <c r="Q87" s="2" t="n">
        <f aca="false">100*(N87-O87)/O87</f>
        <v>0.0431842989725821</v>
      </c>
      <c r="S87" s="2" t="s">
        <v>415</v>
      </c>
      <c r="T87" s="2" t="n">
        <v>82302</v>
      </c>
      <c r="U87" s="2" t="n">
        <v>82302</v>
      </c>
      <c r="V87" s="2" t="n">
        <v>1534.3467</v>
      </c>
      <c r="W87" s="2" t="n">
        <f aca="false">100*(T87-U87)/U87</f>
        <v>0</v>
      </c>
      <c r="Y87" s="2" t="s">
        <v>415</v>
      </c>
      <c r="Z87" s="2" t="n">
        <v>82302</v>
      </c>
      <c r="AA87" s="2" t="n">
        <v>308.3753</v>
      </c>
      <c r="AB87" s="2" t="n">
        <f aca="false">100*(Z87-O87)/O87</f>
        <v>0.0431842989725821</v>
      </c>
      <c r="AD87" s="2" t="n">
        <f aca="false">100*(Z87-U87)/U87</f>
        <v>0</v>
      </c>
      <c r="AF87" s="2" t="s">
        <v>415</v>
      </c>
      <c r="AG87" s="2" t="n">
        <v>82302</v>
      </c>
      <c r="AH87" s="2" t="n">
        <v>706.9579</v>
      </c>
      <c r="AI87" s="2" t="n">
        <f aca="false">100*(AG87-$O87)/$O87</f>
        <v>0.0431842989725821</v>
      </c>
      <c r="AL87" s="2" t="s">
        <v>415</v>
      </c>
      <c r="AM87" s="2" t="n">
        <v>82302</v>
      </c>
      <c r="AN87" s="2" t="n">
        <v>399.3658</v>
      </c>
      <c r="AO87" s="2" t="n">
        <f aca="false">100*(AM87-$O87)/$O87</f>
        <v>0.0431842989725821</v>
      </c>
    </row>
    <row r="88" customFormat="false" ht="13.8" hidden="false" customHeight="false" outlineLevel="0" collapsed="false">
      <c r="A88" s="3" t="s">
        <v>175</v>
      </c>
      <c r="B88" s="2" t="n">
        <v>84219</v>
      </c>
      <c r="C88" s="2" t="n">
        <f aca="false">100*(B88-$O88)/$O88</f>
        <v>0.0324419204591622</v>
      </c>
      <c r="E88" s="3" t="s">
        <v>416</v>
      </c>
      <c r="F88" s="2" t="n">
        <v>84285</v>
      </c>
      <c r="G88" s="2" t="n">
        <v>433.7649</v>
      </c>
      <c r="H88" s="2" t="n">
        <f aca="false">100*(F88-$U88)/$U88</f>
        <v>0.100950118764846</v>
      </c>
      <c r="I88" s="6"/>
      <c r="J88" s="6" t="n">
        <f aca="false">100*(F88-U88)/U88</f>
        <v>0.100950118764846</v>
      </c>
      <c r="K88" s="6"/>
      <c r="M88" s="2" t="s">
        <v>416</v>
      </c>
      <c r="N88" s="2" t="n">
        <v>84200</v>
      </c>
      <c r="O88" s="2" t="n">
        <v>84191.6866</v>
      </c>
      <c r="P88" s="2" t="n">
        <v>687.3796</v>
      </c>
      <c r="Q88" s="2" t="n">
        <f aca="false">100*(N88-O88)/O88</f>
        <v>0.00987437161046147</v>
      </c>
      <c r="S88" s="2" t="s">
        <v>416</v>
      </c>
      <c r="T88" s="2" t="n">
        <v>84200</v>
      </c>
      <c r="U88" s="2" t="n">
        <v>84200</v>
      </c>
      <c r="V88" s="2" t="n">
        <v>491.0329</v>
      </c>
      <c r="W88" s="2" t="n">
        <f aca="false">100*(T88-U88)/U88</f>
        <v>0</v>
      </c>
      <c r="Y88" s="2" t="s">
        <v>416</v>
      </c>
      <c r="Z88" s="2" t="n">
        <v>84279</v>
      </c>
      <c r="AA88" s="2" t="n">
        <v>352.3024</v>
      </c>
      <c r="AB88" s="2" t="n">
        <f aca="false">100*(Z88-O88)/O88</f>
        <v>0.103707864191901</v>
      </c>
      <c r="AD88" s="2" t="n">
        <f aca="false">100*(Z88-U88)/U88</f>
        <v>0.0938242280285036</v>
      </c>
      <c r="AF88" s="2" t="s">
        <v>416</v>
      </c>
      <c r="AG88" s="2" t="n">
        <v>84233</v>
      </c>
      <c r="AH88" s="2" t="n">
        <v>703.3809</v>
      </c>
      <c r="AI88" s="2" t="n">
        <f aca="false">100*(AG88-$O88)/$O88</f>
        <v>0.049070640663468</v>
      </c>
      <c r="AL88" s="2" t="s">
        <v>416</v>
      </c>
      <c r="AM88" s="2" t="n">
        <v>84233</v>
      </c>
      <c r="AN88" s="2" t="n">
        <v>355.2002</v>
      </c>
      <c r="AO88" s="2" t="n">
        <f aca="false">100*(AM88-$O88)/$O88</f>
        <v>0.049070640663468</v>
      </c>
    </row>
    <row r="89" customFormat="false" ht="13.8" hidden="false" customHeight="false" outlineLevel="0" collapsed="false">
      <c r="A89" s="3" t="s">
        <v>177</v>
      </c>
      <c r="B89" s="2" t="n">
        <v>80992</v>
      </c>
      <c r="C89" s="2" t="n">
        <f aca="false">100*(B89-$O89)/$O89</f>
        <v>-0.0121388611494947</v>
      </c>
      <c r="E89" s="3" t="s">
        <v>417</v>
      </c>
      <c r="F89" s="2" t="n">
        <v>81076</v>
      </c>
      <c r="G89" s="2" t="n">
        <v>325.4898</v>
      </c>
      <c r="H89" s="2" t="n">
        <f aca="false">100*(F89-$U89)/$U89</f>
        <v>0.0876489105610765</v>
      </c>
      <c r="I89" s="6"/>
      <c r="J89" s="6" t="n">
        <f aca="false">100*(F89-U89)/U89</f>
        <v>0.0876489105610765</v>
      </c>
      <c r="K89" s="6"/>
      <c r="M89" s="2" t="s">
        <v>417</v>
      </c>
      <c r="N89" s="2" t="n">
        <v>81007</v>
      </c>
      <c r="O89" s="2" t="n">
        <v>81001.8327</v>
      </c>
      <c r="P89" s="2" t="n">
        <v>2955.789</v>
      </c>
      <c r="Q89" s="2" t="n">
        <f aca="false">100*(N89-O89)/O89</f>
        <v>0.00637923837987554</v>
      </c>
      <c r="S89" s="2" t="s">
        <v>417</v>
      </c>
      <c r="T89" s="2" t="n">
        <v>81005</v>
      </c>
      <c r="U89" s="2" t="n">
        <v>81005</v>
      </c>
      <c r="V89" s="2" t="n">
        <v>1433.6628</v>
      </c>
      <c r="W89" s="2" t="n">
        <f aca="false">100*(T89-U89)/U89</f>
        <v>0</v>
      </c>
      <c r="Y89" s="2" t="s">
        <v>417</v>
      </c>
      <c r="Z89" s="2" t="n">
        <v>81096</v>
      </c>
      <c r="AA89" s="2" t="n">
        <v>342.9103</v>
      </c>
      <c r="AB89" s="2" t="n">
        <f aca="false">100*(Z89-O89)/O89</f>
        <v>0.116253295587473</v>
      </c>
      <c r="AD89" s="2" t="n">
        <f aca="false">100*(Z89-U89)/U89</f>
        <v>0.112338744521943</v>
      </c>
      <c r="AF89" s="2" t="s">
        <v>417</v>
      </c>
      <c r="AG89" s="2" t="n">
        <v>81118</v>
      </c>
      <c r="AH89" s="2" t="n">
        <v>679.7924</v>
      </c>
      <c r="AI89" s="2" t="n">
        <f aca="false">100*(AG89-$O89)/$O89</f>
        <v>0.143413174897216</v>
      </c>
      <c r="AL89" s="2" t="s">
        <v>417</v>
      </c>
      <c r="AM89" s="2" t="n">
        <v>81118</v>
      </c>
      <c r="AN89" s="2" t="n">
        <v>328.0148</v>
      </c>
      <c r="AO89" s="2" t="n">
        <f aca="false">100*(AM89-$O89)/$O89</f>
        <v>0.143413174897216</v>
      </c>
    </row>
    <row r="90" customFormat="false" ht="13.8" hidden="false" customHeight="false" outlineLevel="0" collapsed="false">
      <c r="A90" s="3" t="s">
        <v>179</v>
      </c>
      <c r="B90" s="2" t="n">
        <v>78191</v>
      </c>
      <c r="C90" s="2" t="n">
        <f aca="false">100*(B90-$O90)/$O90</f>
        <v>0.00999626715129582</v>
      </c>
      <c r="E90" s="3" t="s">
        <v>418</v>
      </c>
      <c r="F90" s="2" t="n">
        <v>78191</v>
      </c>
      <c r="G90" s="2" t="n">
        <v>321.4836</v>
      </c>
      <c r="H90" s="2" t="n">
        <f aca="false">100*(F90-$U90)/$U90</f>
        <v>0</v>
      </c>
      <c r="I90" s="6"/>
      <c r="J90" s="6" t="n">
        <f aca="false">100*(F90-U90)/U90</f>
        <v>0</v>
      </c>
      <c r="K90" s="6"/>
      <c r="M90" s="2" t="s">
        <v>418</v>
      </c>
      <c r="N90" s="2" t="n">
        <v>78191</v>
      </c>
      <c r="O90" s="2" t="n">
        <v>78183.1846</v>
      </c>
      <c r="P90" s="2" t="n">
        <v>523.4449</v>
      </c>
      <c r="Q90" s="2" t="n">
        <f aca="false">100*(N90-O90)/O90</f>
        <v>0.00999626715129582</v>
      </c>
      <c r="S90" s="2" t="s">
        <v>418</v>
      </c>
      <c r="T90" s="2" t="n">
        <v>78191</v>
      </c>
      <c r="U90" s="2" t="n">
        <v>78191</v>
      </c>
      <c r="V90" s="2" t="n">
        <v>385.6633</v>
      </c>
      <c r="W90" s="2" t="n">
        <f aca="false">100*(T90-U90)/U90</f>
        <v>0</v>
      </c>
      <c r="Y90" s="2" t="s">
        <v>418</v>
      </c>
      <c r="Z90" s="2" t="n">
        <v>78201</v>
      </c>
      <c r="AA90" s="2" t="n">
        <v>398.3016</v>
      </c>
      <c r="AB90" s="2" t="n">
        <f aca="false">100*(Z90-O90)/O90</f>
        <v>0.0227867412809465</v>
      </c>
      <c r="AD90" s="2" t="n">
        <f aca="false">100*(Z90-U90)/U90</f>
        <v>0.0127891956874832</v>
      </c>
      <c r="AF90" s="2" t="s">
        <v>418</v>
      </c>
      <c r="AG90" s="2" t="n">
        <v>78191</v>
      </c>
      <c r="AH90" s="2" t="n">
        <v>584.6917</v>
      </c>
      <c r="AI90" s="2" t="n">
        <f aca="false">100*(AG90-$O90)/$O90</f>
        <v>0.00999626715129582</v>
      </c>
      <c r="AL90" s="2" t="s">
        <v>418</v>
      </c>
      <c r="AM90" s="2" t="n">
        <v>78191</v>
      </c>
      <c r="AN90" s="2" t="n">
        <v>329.3318</v>
      </c>
      <c r="AO90" s="2" t="n">
        <f aca="false">100*(AM90-$O90)/$O90</f>
        <v>0.00999626715129582</v>
      </c>
    </row>
    <row r="91" customFormat="false" ht="13.8" hidden="false" customHeight="false" outlineLevel="0" collapsed="false">
      <c r="A91" s="3" t="s">
        <v>181</v>
      </c>
      <c r="B91" s="2" t="n">
        <v>81575</v>
      </c>
      <c r="C91" s="2" t="n">
        <f aca="false">100*(B91-$O91)/$O91</f>
        <v>0.00132971427939625</v>
      </c>
      <c r="E91" s="3" t="s">
        <v>419</v>
      </c>
      <c r="F91" s="2" t="n">
        <v>81626</v>
      </c>
      <c r="G91" s="2" t="n">
        <v>308.1645</v>
      </c>
      <c r="H91" s="2" t="n">
        <f aca="false">100*(F91-$U91)/$U91</f>
        <v>0.0625191541526203</v>
      </c>
      <c r="I91" s="6" t="n">
        <f aca="false">AVERAGE(H82:H91)</f>
        <v>0.0707091151273417</v>
      </c>
      <c r="J91" s="6" t="n">
        <f aca="false">100*(F91-U91)/U91</f>
        <v>0.0625191541526203</v>
      </c>
      <c r="K91" s="6" t="n">
        <f aca="false">AVERAGE(J82:J91)</f>
        <v>0.0707091151273417</v>
      </c>
      <c r="M91" s="2" t="s">
        <v>419</v>
      </c>
      <c r="N91" s="2" t="n">
        <v>81582</v>
      </c>
      <c r="O91" s="2" t="n">
        <v>81573.9153</v>
      </c>
      <c r="P91" s="2" t="n">
        <v>795.2771</v>
      </c>
      <c r="Q91" s="2" t="n">
        <f aca="false">100*(N91-O91)/O91</f>
        <v>0.00991088875687043</v>
      </c>
      <c r="R91" s="7" t="n">
        <f aca="false">AVERAGE(Q82:Q91)</f>
        <v>0.022067212017371</v>
      </c>
      <c r="S91" s="2" t="s">
        <v>419</v>
      </c>
      <c r="T91" s="2" t="n">
        <v>81575</v>
      </c>
      <c r="U91" s="2" t="n">
        <v>81575</v>
      </c>
      <c r="V91" s="2" t="n">
        <v>394.3999</v>
      </c>
      <c r="W91" s="2" t="n">
        <f aca="false">100*(T91-U91)/U91</f>
        <v>0</v>
      </c>
      <c r="X91" s="7" t="n">
        <f aca="false">AVERAGE(W82:W91)</f>
        <v>0</v>
      </c>
      <c r="Y91" s="2" t="s">
        <v>419</v>
      </c>
      <c r="Z91" s="2" t="n">
        <v>81575</v>
      </c>
      <c r="AA91" s="2" t="n">
        <v>340.0294</v>
      </c>
      <c r="AB91" s="2" t="n">
        <f aca="false">100*(Z91-O91)/O91</f>
        <v>0.00132971427939625</v>
      </c>
      <c r="AC91" s="6" t="n">
        <f aca="false">AVERAGE(AB82:AB91)</f>
        <v>0.0548577544887958</v>
      </c>
      <c r="AD91" s="2" t="n">
        <f aca="false">100*(Z91-U91)/U91</f>
        <v>0</v>
      </c>
      <c r="AE91" s="6" t="n">
        <f aca="false">AVERAGE(AD82:AD91)</f>
        <v>0.0338928866624991</v>
      </c>
      <c r="AF91" s="2" t="s">
        <v>419</v>
      </c>
      <c r="AG91" s="2" t="n">
        <v>81575</v>
      </c>
      <c r="AH91" s="2" t="n">
        <v>451.6371</v>
      </c>
      <c r="AI91" s="2" t="n">
        <f aca="false">100*(AG91-$O91)/$O91</f>
        <v>0.00132971427939625</v>
      </c>
      <c r="AJ91" s="6" t="n">
        <f aca="false">AVERAGE(AI82:AI91)</f>
        <v>0.069875680658214</v>
      </c>
      <c r="AL91" s="2" t="s">
        <v>419</v>
      </c>
      <c r="AM91" s="2" t="n">
        <v>81575</v>
      </c>
      <c r="AN91" s="2" t="n">
        <v>282.3992</v>
      </c>
      <c r="AO91" s="2" t="n">
        <f aca="false">100*(AM91-$O91)/$O91</f>
        <v>0.00132971427939625</v>
      </c>
      <c r="AP91" s="6" t="n">
        <f aca="false">AVERAGE(AO82:AO91)</f>
        <v>0.069875680658214</v>
      </c>
    </row>
    <row r="92" customFormat="false" ht="13.8" hidden="false" customHeight="false" outlineLevel="0" collapsed="false">
      <c r="A92" s="3" t="s">
        <v>183</v>
      </c>
      <c r="B92" s="2" t="n">
        <v>46311</v>
      </c>
      <c r="C92" s="2" t="n">
        <f aca="false">100*(B92-$O92)/$O92</f>
        <v>0.0089835540494741</v>
      </c>
      <c r="E92" s="3" t="s">
        <v>420</v>
      </c>
      <c r="F92" s="2" t="n">
        <v>46312</v>
      </c>
      <c r="G92" s="2" t="n">
        <v>44.9898</v>
      </c>
      <c r="H92" s="2" t="n">
        <f aca="false">100*(F92-$U92)/$U92</f>
        <v>0.00215931420180951</v>
      </c>
      <c r="I92" s="6"/>
      <c r="J92" s="6" t="n">
        <f aca="false">100*(F92-U92)/U92</f>
        <v>0.00215931420180951</v>
      </c>
      <c r="K92" s="6"/>
      <c r="M92" s="2" t="s">
        <v>420</v>
      </c>
      <c r="N92" s="2" t="n">
        <v>46311</v>
      </c>
      <c r="O92" s="2" t="n">
        <v>46306.84</v>
      </c>
      <c r="P92" s="2" t="n">
        <v>33.7049</v>
      </c>
      <c r="Q92" s="2" t="n">
        <f aca="false">100*(N92-O92)/O92</f>
        <v>0.0089835540494741</v>
      </c>
      <c r="S92" s="2" t="s">
        <v>420</v>
      </c>
      <c r="T92" s="2" t="n">
        <v>46311</v>
      </c>
      <c r="U92" s="2" t="n">
        <v>46311</v>
      </c>
      <c r="V92" s="2" t="n">
        <v>52.4493</v>
      </c>
      <c r="W92" s="2" t="n">
        <f aca="false">100*(T92-U92)/U92</f>
        <v>0</v>
      </c>
      <c r="Y92" s="2" t="s">
        <v>420</v>
      </c>
      <c r="Z92" s="2" t="n">
        <v>46311</v>
      </c>
      <c r="AA92" s="2" t="n">
        <v>61.712</v>
      </c>
      <c r="AB92" s="2" t="n">
        <f aca="false">100*(Z92-O92)/O92</f>
        <v>0.0089835540494741</v>
      </c>
      <c r="AD92" s="2" t="n">
        <f aca="false">100*(Z92-U92)/U92</f>
        <v>0</v>
      </c>
      <c r="AF92" s="2" t="s">
        <v>420</v>
      </c>
      <c r="AG92" s="2" t="n">
        <v>46311</v>
      </c>
      <c r="AH92" s="2" t="n">
        <v>69.3008</v>
      </c>
      <c r="AI92" s="2" t="n">
        <f aca="false">100*(AG92-$O92)/$O92</f>
        <v>0.0089835540494741</v>
      </c>
      <c r="AL92" s="2" t="s">
        <v>420</v>
      </c>
      <c r="AM92" s="2" t="n">
        <v>46311</v>
      </c>
      <c r="AN92" s="2" t="n">
        <v>42.073</v>
      </c>
      <c r="AO92" s="2" t="n">
        <f aca="false">100*(AM92-$O92)/$O92</f>
        <v>0.0089835540494741</v>
      </c>
    </row>
    <row r="93" customFormat="false" ht="13.8" hidden="false" customHeight="false" outlineLevel="0" collapsed="false">
      <c r="A93" s="3" t="s">
        <v>185</v>
      </c>
      <c r="B93" s="2" t="n">
        <v>47101</v>
      </c>
      <c r="C93" s="2" t="n">
        <f aca="false">100*(B93-$O93)/$O93</f>
        <v>0.00787200240862423</v>
      </c>
      <c r="E93" s="3" t="s">
        <v>421</v>
      </c>
      <c r="F93" s="2" t="n">
        <v>47104</v>
      </c>
      <c r="G93" s="2" t="n">
        <v>28.7934</v>
      </c>
      <c r="H93" s="2" t="n">
        <f aca="false">100*(F93-$U93)/$U93</f>
        <v>0.00636929152247298</v>
      </c>
      <c r="I93" s="6"/>
      <c r="J93" s="6" t="n">
        <f aca="false">100*(F93-U93)/U93</f>
        <v>0.00636929152247298</v>
      </c>
      <c r="K93" s="6"/>
      <c r="M93" s="2" t="s">
        <v>421</v>
      </c>
      <c r="N93" s="2" t="n">
        <v>47102</v>
      </c>
      <c r="O93" s="2" t="n">
        <v>47097.2925</v>
      </c>
      <c r="P93" s="2" t="n">
        <v>21.2303</v>
      </c>
      <c r="Q93" s="2" t="n">
        <f aca="false">100*(N93-O93)/O93</f>
        <v>0.00999526671304258</v>
      </c>
      <c r="S93" s="2" t="s">
        <v>421</v>
      </c>
      <c r="T93" s="2" t="n">
        <v>47101</v>
      </c>
      <c r="U93" s="2" t="n">
        <v>47101</v>
      </c>
      <c r="V93" s="2" t="n">
        <v>54.2998</v>
      </c>
      <c r="W93" s="2" t="n">
        <f aca="false">100*(T93-U93)/U93</f>
        <v>0</v>
      </c>
      <c r="Y93" s="2" t="s">
        <v>421</v>
      </c>
      <c r="Z93" s="2" t="n">
        <v>47101</v>
      </c>
      <c r="AA93" s="2" t="n">
        <v>69.2013</v>
      </c>
      <c r="AB93" s="2" t="n">
        <f aca="false">100*(Z93-O93)/O93</f>
        <v>0.00787200240862423</v>
      </c>
      <c r="AD93" s="2" t="n">
        <f aca="false">100*(Z93-U93)/U93</f>
        <v>0</v>
      </c>
      <c r="AF93" s="2" t="s">
        <v>421</v>
      </c>
      <c r="AG93" s="2" t="n">
        <v>47101</v>
      </c>
      <c r="AH93" s="2" t="n">
        <v>53.5476</v>
      </c>
      <c r="AI93" s="2" t="n">
        <f aca="false">100*(AG93-$O93)/$O93</f>
        <v>0.00787200240862423</v>
      </c>
      <c r="AL93" s="2" t="s">
        <v>421</v>
      </c>
      <c r="AM93" s="2" t="n">
        <v>47101</v>
      </c>
      <c r="AN93" s="2" t="n">
        <v>56.879</v>
      </c>
      <c r="AO93" s="2" t="n">
        <f aca="false">100*(AM93-$O93)/$O93</f>
        <v>0.00787200240862423</v>
      </c>
    </row>
    <row r="94" customFormat="false" ht="13.8" hidden="false" customHeight="false" outlineLevel="0" collapsed="false">
      <c r="A94" s="3" t="s">
        <v>187</v>
      </c>
      <c r="B94" s="2" t="n">
        <v>49349</v>
      </c>
      <c r="C94" s="2" t="n">
        <f aca="false">100*(B94-$O94)/$O94</f>
        <v>0.00669075543978697</v>
      </c>
      <c r="E94" s="3" t="s">
        <v>422</v>
      </c>
      <c r="F94" s="2" t="n">
        <v>49349</v>
      </c>
      <c r="G94" s="2" t="n">
        <v>19.146</v>
      </c>
      <c r="H94" s="2" t="n">
        <f aca="false">100*(F94-$U94)/$U94</f>
        <v>0</v>
      </c>
      <c r="I94" s="6"/>
      <c r="J94" s="6" t="n">
        <f aca="false">100*(F94-U94)/U94</f>
        <v>0</v>
      </c>
      <c r="K94" s="6"/>
      <c r="M94" s="2" t="s">
        <v>422</v>
      </c>
      <c r="N94" s="2" t="n">
        <v>49350</v>
      </c>
      <c r="O94" s="2" t="n">
        <v>49345.6984</v>
      </c>
      <c r="P94" s="2" t="n">
        <v>24.1759</v>
      </c>
      <c r="Q94" s="2" t="n">
        <f aca="false">100*(N94-O94)/O94</f>
        <v>0.00871727453349585</v>
      </c>
      <c r="S94" s="2" t="s">
        <v>422</v>
      </c>
      <c r="T94" s="2" t="n">
        <v>49349</v>
      </c>
      <c r="U94" s="2" t="n">
        <v>49349</v>
      </c>
      <c r="V94" s="2" t="n">
        <v>54.866</v>
      </c>
      <c r="W94" s="2" t="n">
        <f aca="false">100*(T94-U94)/U94</f>
        <v>0</v>
      </c>
      <c r="Y94" s="2" t="s">
        <v>422</v>
      </c>
      <c r="Z94" s="2" t="n">
        <v>49349</v>
      </c>
      <c r="AA94" s="2" t="n">
        <v>67.5662</v>
      </c>
      <c r="AB94" s="2" t="n">
        <f aca="false">100*(Z94-O94)/O94</f>
        <v>0.00669075543978697</v>
      </c>
      <c r="AD94" s="2" t="n">
        <f aca="false">100*(Z94-U94)/U94</f>
        <v>0</v>
      </c>
      <c r="AF94" s="2" t="s">
        <v>422</v>
      </c>
      <c r="AG94" s="2" t="n">
        <v>49349</v>
      </c>
      <c r="AH94" s="2" t="n">
        <v>58.6322</v>
      </c>
      <c r="AI94" s="2" t="n">
        <f aca="false">100*(AG94-$O94)/$O94</f>
        <v>0.00669075543978697</v>
      </c>
      <c r="AL94" s="2" t="s">
        <v>422</v>
      </c>
      <c r="AM94" s="2" t="n">
        <v>49349</v>
      </c>
      <c r="AN94" s="2" t="n">
        <v>52.2142</v>
      </c>
      <c r="AO94" s="2" t="n">
        <f aca="false">100*(AM94-$O94)/$O94</f>
        <v>0.00669075543978697</v>
      </c>
    </row>
    <row r="95" customFormat="false" ht="13.8" hidden="false" customHeight="false" outlineLevel="0" collapsed="false">
      <c r="A95" s="3" t="s">
        <v>189</v>
      </c>
      <c r="B95" s="2" t="n">
        <v>49551</v>
      </c>
      <c r="C95" s="2" t="n">
        <f aca="false">100*(B95-$O95)/$O95</f>
        <v>-0.0324247516577136</v>
      </c>
      <c r="E95" s="3" t="s">
        <v>423</v>
      </c>
      <c r="F95" s="2" t="n">
        <v>49574</v>
      </c>
      <c r="G95" s="2" t="n">
        <v>181.4207</v>
      </c>
      <c r="H95" s="2" t="n">
        <f aca="false">100*(F95-$U95)/$U95</f>
        <v>0.00403453562494957</v>
      </c>
      <c r="I95" s="6"/>
      <c r="J95" s="6" t="n">
        <f aca="false">100*(F95-U95)/U95</f>
        <v>0.00403453562494957</v>
      </c>
      <c r="K95" s="6"/>
      <c r="M95" s="2" t="s">
        <v>423</v>
      </c>
      <c r="N95" s="2" t="n">
        <v>49572</v>
      </c>
      <c r="O95" s="2" t="n">
        <v>49567.072</v>
      </c>
      <c r="P95" s="2" t="n">
        <v>122.6828</v>
      </c>
      <c r="Q95" s="2" t="n">
        <f aca="false">100*(N95-O95)/O95</f>
        <v>0.00994208413198158</v>
      </c>
      <c r="S95" s="2" t="s">
        <v>423</v>
      </c>
      <c r="T95" s="2" t="n">
        <v>49572</v>
      </c>
      <c r="U95" s="2" t="n">
        <v>49572</v>
      </c>
      <c r="V95" s="2" t="n">
        <v>150.3414</v>
      </c>
      <c r="W95" s="2" t="n">
        <f aca="false">100*(T95-U95)/U95</f>
        <v>0</v>
      </c>
      <c r="Y95" s="2" t="s">
        <v>423</v>
      </c>
      <c r="Z95" s="2" t="n">
        <v>49575</v>
      </c>
      <c r="AA95" s="2" t="n">
        <v>299.7308</v>
      </c>
      <c r="AB95" s="2" t="n">
        <f aca="false">100*(Z95-O95)/O95</f>
        <v>0.0159944892447952</v>
      </c>
      <c r="AD95" s="2" t="n">
        <f aca="false">100*(Z95-U95)/U95</f>
        <v>0.00605180343742435</v>
      </c>
      <c r="AF95" s="2" t="s">
        <v>423</v>
      </c>
      <c r="AG95" s="2" t="n">
        <v>49575</v>
      </c>
      <c r="AH95" s="2" t="n">
        <v>212.6462</v>
      </c>
      <c r="AI95" s="2" t="n">
        <f aca="false">100*(AG95-$O95)/$O95</f>
        <v>0.0159944892447952</v>
      </c>
      <c r="AL95" s="2" t="s">
        <v>423</v>
      </c>
      <c r="AM95" s="2" t="n">
        <v>49575</v>
      </c>
      <c r="AN95" s="2" t="n">
        <v>248.3268</v>
      </c>
      <c r="AO95" s="2" t="n">
        <f aca="false">100*(AM95-$O95)/$O95</f>
        <v>0.0159944892447952</v>
      </c>
    </row>
    <row r="96" customFormat="false" ht="13.8" hidden="false" customHeight="false" outlineLevel="0" collapsed="false">
      <c r="A96" s="3" t="s">
        <v>191</v>
      </c>
      <c r="B96" s="2" t="n">
        <v>45681</v>
      </c>
      <c r="C96" s="2" t="n">
        <f aca="false">100*(B96-$O96)/$O96</f>
        <v>0.000906949842363183</v>
      </c>
      <c r="E96" s="3" t="s">
        <v>424</v>
      </c>
      <c r="F96" s="2" t="n">
        <v>45685</v>
      </c>
      <c r="G96" s="2" t="n">
        <v>107.6763</v>
      </c>
      <c r="H96" s="2" t="n">
        <f aca="false">100*(F96-$U96)/$U96</f>
        <v>0</v>
      </c>
      <c r="I96" s="6"/>
      <c r="J96" s="6" t="n">
        <f aca="false">100*(F96-U96)/U96</f>
        <v>0</v>
      </c>
      <c r="K96" s="6"/>
      <c r="M96" s="2" t="s">
        <v>424</v>
      </c>
      <c r="N96" s="2" t="n">
        <v>45685</v>
      </c>
      <c r="O96" s="2" t="n">
        <v>45680.5857</v>
      </c>
      <c r="P96" s="2" t="n">
        <v>285.4147</v>
      </c>
      <c r="Q96" s="2" t="n">
        <f aca="false">100*(N96-O96)/O96</f>
        <v>0.00966340499438195</v>
      </c>
      <c r="S96" s="2" t="s">
        <v>424</v>
      </c>
      <c r="T96" s="2" t="n">
        <v>45685</v>
      </c>
      <c r="U96" s="2" t="n">
        <v>45685</v>
      </c>
      <c r="V96" s="2" t="n">
        <v>268.4424</v>
      </c>
      <c r="W96" s="2" t="n">
        <f aca="false">100*(T96-U96)/U96</f>
        <v>0</v>
      </c>
      <c r="Y96" s="2" t="s">
        <v>424</v>
      </c>
      <c r="Z96" s="2" t="n">
        <v>45685</v>
      </c>
      <c r="AA96" s="2" t="n">
        <v>185.3353</v>
      </c>
      <c r="AB96" s="2" t="n">
        <f aca="false">100*(Z96-O96)/O96</f>
        <v>0.00966340499438195</v>
      </c>
      <c r="AD96" s="2" t="n">
        <f aca="false">100*(Z96-U96)/U96</f>
        <v>0</v>
      </c>
      <c r="AF96" s="2" t="s">
        <v>424</v>
      </c>
      <c r="AG96" s="2" t="n">
        <v>45685</v>
      </c>
      <c r="AH96" s="2" t="n">
        <v>457.0924</v>
      </c>
      <c r="AI96" s="2" t="n">
        <f aca="false">100*(AG96-$O96)/$O96</f>
        <v>0.00966340499438195</v>
      </c>
      <c r="AL96" s="2" t="s">
        <v>424</v>
      </c>
      <c r="AM96" s="2" t="n">
        <v>45685</v>
      </c>
      <c r="AN96" s="2" t="n">
        <v>158.0211</v>
      </c>
      <c r="AO96" s="2" t="n">
        <f aca="false">100*(AM96-$O96)/$O96</f>
        <v>0.00966340499438195</v>
      </c>
    </row>
    <row r="97" customFormat="false" ht="13.8" hidden="false" customHeight="false" outlineLevel="0" collapsed="false">
      <c r="A97" s="3" t="s">
        <v>193</v>
      </c>
      <c r="B97" s="2" t="n">
        <v>49905</v>
      </c>
      <c r="C97" s="2" t="n">
        <f aca="false">100*(B97-$O97)/$O97</f>
        <v>0.00997434413998139</v>
      </c>
      <c r="E97" s="3" t="s">
        <v>425</v>
      </c>
      <c r="F97" s="2" t="n">
        <v>49907</v>
      </c>
      <c r="G97" s="2" t="n">
        <v>82.1892</v>
      </c>
      <c r="H97" s="2" t="n">
        <f aca="false">100*(F97-$U97)/$U97</f>
        <v>0.00400761446748823</v>
      </c>
      <c r="I97" s="6"/>
      <c r="J97" s="6" t="n">
        <f aca="false">100*(F97-U97)/U97</f>
        <v>0.00400761446748823</v>
      </c>
      <c r="K97" s="6"/>
      <c r="M97" s="2" t="s">
        <v>425</v>
      </c>
      <c r="N97" s="2" t="n">
        <v>49905</v>
      </c>
      <c r="O97" s="2" t="n">
        <v>49900.0228</v>
      </c>
      <c r="P97" s="2" t="n">
        <v>71.6324</v>
      </c>
      <c r="Q97" s="2" t="n">
        <f aca="false">100*(N97-O97)/O97</f>
        <v>0.00997434413998139</v>
      </c>
      <c r="S97" s="2" t="s">
        <v>425</v>
      </c>
      <c r="T97" s="2" t="n">
        <v>49905</v>
      </c>
      <c r="U97" s="2" t="n">
        <v>49905</v>
      </c>
      <c r="V97" s="2" t="n">
        <v>263.6225</v>
      </c>
      <c r="W97" s="2" t="n">
        <f aca="false">100*(T97-U97)/U97</f>
        <v>0</v>
      </c>
      <c r="Y97" s="2" t="s">
        <v>425</v>
      </c>
      <c r="Z97" s="2" t="n">
        <v>49905</v>
      </c>
      <c r="AA97" s="2" t="n">
        <v>222.6053</v>
      </c>
      <c r="AB97" s="2" t="n">
        <f aca="false">100*(Z97-O97)/O97</f>
        <v>0.00997434413998139</v>
      </c>
      <c r="AD97" s="2" t="n">
        <f aca="false">100*(Z97-U97)/U97</f>
        <v>0</v>
      </c>
      <c r="AF97" s="2" t="s">
        <v>425</v>
      </c>
      <c r="AG97" s="2" t="n">
        <v>49905</v>
      </c>
      <c r="AH97" s="2" t="n">
        <v>165.0123</v>
      </c>
      <c r="AI97" s="2" t="n">
        <f aca="false">100*(AG97-$O97)/$O97</f>
        <v>0.00997434413998139</v>
      </c>
      <c r="AL97" s="2" t="s">
        <v>425</v>
      </c>
      <c r="AM97" s="2" t="n">
        <v>49905</v>
      </c>
      <c r="AN97" s="2" t="n">
        <v>126.152</v>
      </c>
      <c r="AO97" s="2" t="n">
        <f aca="false">100*(AM97-$O97)/$O97</f>
        <v>0.00997434413998139</v>
      </c>
    </row>
    <row r="98" customFormat="false" ht="13.8" hidden="false" customHeight="false" outlineLevel="0" collapsed="false">
      <c r="A98" s="3" t="s">
        <v>195</v>
      </c>
      <c r="B98" s="2" t="n">
        <v>50561</v>
      </c>
      <c r="C98" s="2" t="n">
        <f aca="false">100*(B98-$O98)/$O98</f>
        <v>0.00413319825842214</v>
      </c>
      <c r="E98" s="3" t="s">
        <v>426</v>
      </c>
      <c r="F98" s="2" t="n">
        <v>50562</v>
      </c>
      <c r="G98" s="2" t="n">
        <v>22.5363</v>
      </c>
      <c r="H98" s="2" t="n">
        <f aca="false">100*(F98-$U98)/$U98</f>
        <v>0.0019778089832084</v>
      </c>
      <c r="I98" s="6"/>
      <c r="J98" s="6" t="n">
        <f aca="false">100*(F98-U98)/U98</f>
        <v>0.0019778089832084</v>
      </c>
      <c r="K98" s="6"/>
      <c r="M98" s="2" t="s">
        <v>426</v>
      </c>
      <c r="N98" s="2" t="n">
        <v>50561</v>
      </c>
      <c r="O98" s="2" t="n">
        <v>50558.9103</v>
      </c>
      <c r="P98" s="2" t="n">
        <v>12.1511</v>
      </c>
      <c r="Q98" s="2" t="n">
        <f aca="false">100*(N98-O98)/O98</f>
        <v>0.00413319825842214</v>
      </c>
      <c r="S98" s="2" t="s">
        <v>426</v>
      </c>
      <c r="T98" s="2" t="n">
        <v>50561</v>
      </c>
      <c r="U98" s="2" t="n">
        <v>50561</v>
      </c>
      <c r="V98" s="2" t="n">
        <v>74.1879</v>
      </c>
      <c r="W98" s="2" t="n">
        <f aca="false">100*(T98-U98)/U98</f>
        <v>0</v>
      </c>
      <c r="Y98" s="2" t="s">
        <v>426</v>
      </c>
      <c r="Z98" s="2" t="n">
        <v>50561</v>
      </c>
      <c r="AA98" s="2" t="n">
        <v>73.5566</v>
      </c>
      <c r="AB98" s="2" t="n">
        <f aca="false">100*(Z98-O98)/O98</f>
        <v>0.00413319825842214</v>
      </c>
      <c r="AD98" s="2" t="n">
        <f aca="false">100*(Z98-U98)/U98</f>
        <v>0</v>
      </c>
      <c r="AF98" s="2" t="s">
        <v>426</v>
      </c>
      <c r="AG98" s="2" t="n">
        <v>50561</v>
      </c>
      <c r="AH98" s="2" t="n">
        <v>32.7871</v>
      </c>
      <c r="AI98" s="2" t="n">
        <f aca="false">100*(AG98-$O98)/$O98</f>
        <v>0.00413319825842214</v>
      </c>
      <c r="AL98" s="2" t="s">
        <v>426</v>
      </c>
      <c r="AM98" s="2" t="n">
        <v>50561</v>
      </c>
      <c r="AN98" s="2" t="n">
        <v>35.4139</v>
      </c>
      <c r="AO98" s="2" t="n">
        <f aca="false">100*(AM98-$O98)/$O98</f>
        <v>0.00413319825842214</v>
      </c>
    </row>
    <row r="99" customFormat="false" ht="13.8" hidden="false" customHeight="false" outlineLevel="0" collapsed="false">
      <c r="A99" s="3" t="s">
        <v>197</v>
      </c>
      <c r="B99" s="2" t="n">
        <v>49402</v>
      </c>
      <c r="C99" s="2" t="n">
        <f aca="false">100*(B99-$O99)/$O99</f>
        <v>0.0095689492431269</v>
      </c>
      <c r="E99" s="3" t="s">
        <v>427</v>
      </c>
      <c r="F99" s="2" t="n">
        <v>49402</v>
      </c>
      <c r="G99" s="2" t="n">
        <v>88.2988</v>
      </c>
      <c r="H99" s="2" t="n">
        <f aca="false">100*(F99-$U99)/$U99</f>
        <v>0</v>
      </c>
      <c r="I99" s="6"/>
      <c r="J99" s="6" t="n">
        <f aca="false">100*(F99-U99)/U99</f>
        <v>0</v>
      </c>
      <c r="K99" s="6"/>
      <c r="M99" s="2" t="s">
        <v>427</v>
      </c>
      <c r="N99" s="2" t="n">
        <v>49402</v>
      </c>
      <c r="O99" s="2" t="n">
        <v>49397.2732</v>
      </c>
      <c r="P99" s="2" t="n">
        <v>39.9614</v>
      </c>
      <c r="Q99" s="2" t="n">
        <f aca="false">100*(N99-O99)/O99</f>
        <v>0.0095689492431269</v>
      </c>
      <c r="S99" s="2" t="s">
        <v>427</v>
      </c>
      <c r="T99" s="2" t="n">
        <v>49402</v>
      </c>
      <c r="U99" s="2" t="n">
        <v>49402</v>
      </c>
      <c r="V99" s="2" t="n">
        <v>353.3248</v>
      </c>
      <c r="W99" s="2" t="n">
        <f aca="false">100*(T99-U99)/U99</f>
        <v>0</v>
      </c>
      <c r="Y99" s="2" t="s">
        <v>427</v>
      </c>
      <c r="Z99" s="2" t="n">
        <v>49402</v>
      </c>
      <c r="AA99" s="2" t="n">
        <v>161.3776</v>
      </c>
      <c r="AB99" s="2" t="n">
        <f aca="false">100*(Z99-O99)/O99</f>
        <v>0.0095689492431269</v>
      </c>
      <c r="AD99" s="2" t="n">
        <f aca="false">100*(Z99-U99)/U99</f>
        <v>0</v>
      </c>
      <c r="AF99" s="2" t="s">
        <v>427</v>
      </c>
      <c r="AG99" s="2" t="n">
        <v>49402</v>
      </c>
      <c r="AH99" s="2" t="n">
        <v>110.0742</v>
      </c>
      <c r="AI99" s="2" t="n">
        <f aca="false">100*(AG99-$O99)/$O99</f>
        <v>0.0095689492431269</v>
      </c>
      <c r="AL99" s="2" t="s">
        <v>427</v>
      </c>
      <c r="AM99" s="2" t="n">
        <v>49402</v>
      </c>
      <c r="AN99" s="2" t="n">
        <v>88.8194</v>
      </c>
      <c r="AO99" s="2" t="n">
        <f aca="false">100*(AM99-$O99)/$O99</f>
        <v>0.0095689492431269</v>
      </c>
    </row>
    <row r="100" customFormat="false" ht="13.8" hidden="false" customHeight="false" outlineLevel="0" collapsed="false">
      <c r="A100" s="3" t="s">
        <v>199</v>
      </c>
      <c r="B100" s="2" t="n">
        <v>48848</v>
      </c>
      <c r="C100" s="2" t="n">
        <f aca="false">100*(B100-$O100)/$O100</f>
        <v>0.00985541764296976</v>
      </c>
      <c r="E100" s="3" t="s">
        <v>428</v>
      </c>
      <c r="F100" s="2" t="n">
        <v>48848</v>
      </c>
      <c r="G100" s="2" t="n">
        <v>23.6264</v>
      </c>
      <c r="H100" s="2" t="n">
        <f aca="false">100*(F100-$U100)/$U100</f>
        <v>0</v>
      </c>
      <c r="I100" s="6"/>
      <c r="J100" s="6" t="n">
        <f aca="false">100*(F100-U100)/U100</f>
        <v>0</v>
      </c>
      <c r="K100" s="6"/>
      <c r="M100" s="2" t="s">
        <v>428</v>
      </c>
      <c r="N100" s="2" t="n">
        <v>48848</v>
      </c>
      <c r="O100" s="2" t="n">
        <v>48843.1863</v>
      </c>
      <c r="P100" s="2" t="n">
        <v>8.1447</v>
      </c>
      <c r="Q100" s="2" t="n">
        <f aca="false">100*(N100-O100)/O100</f>
        <v>0.00985541764296976</v>
      </c>
      <c r="S100" s="2" t="s">
        <v>428</v>
      </c>
      <c r="T100" s="2" t="n">
        <v>48848</v>
      </c>
      <c r="U100" s="2" t="n">
        <v>48848</v>
      </c>
      <c r="V100" s="2" t="n">
        <v>75.8511</v>
      </c>
      <c r="W100" s="2" t="n">
        <f aca="false">100*(T100-U100)/U100</f>
        <v>0</v>
      </c>
      <c r="Y100" s="2" t="s">
        <v>428</v>
      </c>
      <c r="Z100" s="2" t="n">
        <v>48848</v>
      </c>
      <c r="AA100" s="2" t="n">
        <v>40.4726</v>
      </c>
      <c r="AB100" s="2" t="n">
        <f aca="false">100*(Z100-O100)/O100</f>
        <v>0.00985541764296976</v>
      </c>
      <c r="AD100" s="2" t="n">
        <f aca="false">100*(Z100-U100)/U100</f>
        <v>0</v>
      </c>
      <c r="AF100" s="2" t="s">
        <v>428</v>
      </c>
      <c r="AG100" s="2" t="n">
        <v>48848</v>
      </c>
      <c r="AH100" s="2" t="n">
        <v>40.2671</v>
      </c>
      <c r="AI100" s="2" t="n">
        <f aca="false">100*(AG100-$O100)/$O100</f>
        <v>0.00985541764296976</v>
      </c>
      <c r="AL100" s="2" t="s">
        <v>428</v>
      </c>
      <c r="AM100" s="2" t="n">
        <v>48848</v>
      </c>
      <c r="AN100" s="2" t="n">
        <v>47.3372</v>
      </c>
      <c r="AO100" s="2" t="n">
        <f aca="false">100*(AM100-$O100)/$O100</f>
        <v>0.00985541764296976</v>
      </c>
    </row>
    <row r="101" customFormat="false" ht="13.8" hidden="false" customHeight="false" outlineLevel="0" collapsed="false">
      <c r="A101" s="3" t="s">
        <v>201</v>
      </c>
      <c r="B101" s="2" t="n">
        <v>49615</v>
      </c>
      <c r="C101" s="2" t="n">
        <f aca="false">100*(B101-$O101)/$O101</f>
        <v>0.0019135708302714</v>
      </c>
      <c r="E101" s="3" t="s">
        <v>429</v>
      </c>
      <c r="F101" s="2" t="n">
        <v>49615</v>
      </c>
      <c r="G101" s="2" t="n">
        <v>28.8973</v>
      </c>
      <c r="H101" s="2" t="n">
        <f aca="false">100*(F101-$U101)/$U101</f>
        <v>0</v>
      </c>
      <c r="I101" s="6" t="n">
        <f aca="false">AVERAGE(H92:H101)</f>
        <v>0.00185485647999287</v>
      </c>
      <c r="J101" s="6" t="n">
        <f aca="false">100*(F101-U101)/U101</f>
        <v>0</v>
      </c>
      <c r="K101" s="6" t="n">
        <f aca="false">AVERAGE(J92:J101)</f>
        <v>0.00185485647999287</v>
      </c>
      <c r="M101" s="2" t="s">
        <v>429</v>
      </c>
      <c r="N101" s="2" t="n">
        <v>49619</v>
      </c>
      <c r="O101" s="2" t="n">
        <v>49614.0506</v>
      </c>
      <c r="P101" s="2" t="n">
        <v>30.2161</v>
      </c>
      <c r="Q101" s="2" t="n">
        <f aca="false">100*(N101-O101)/O101</f>
        <v>0.00997580310444899</v>
      </c>
      <c r="R101" s="7" t="n">
        <f aca="false">AVERAGE(Q92:Q101)</f>
        <v>0.00908092968113252</v>
      </c>
      <c r="S101" s="2" t="s">
        <v>429</v>
      </c>
      <c r="T101" s="2" t="n">
        <v>49615</v>
      </c>
      <c r="U101" s="2" t="n">
        <v>49615</v>
      </c>
      <c r="V101" s="2" t="n">
        <v>79.8318</v>
      </c>
      <c r="W101" s="2" t="n">
        <f aca="false">100*(T101-U101)/U101</f>
        <v>0</v>
      </c>
      <c r="X101" s="7" t="n">
        <f aca="false">AVERAGE(W92:W101)</f>
        <v>0</v>
      </c>
      <c r="Y101" s="2" t="s">
        <v>429</v>
      </c>
      <c r="Z101" s="2" t="n">
        <v>49615</v>
      </c>
      <c r="AA101" s="2" t="n">
        <v>46.8456</v>
      </c>
      <c r="AB101" s="2" t="n">
        <f aca="false">100*(Z101-O101)/O101</f>
        <v>0.0019135708302714</v>
      </c>
      <c r="AC101" s="6" t="n">
        <f aca="false">AVERAGE(AB92:AB101)</f>
        <v>0.0084649686251834</v>
      </c>
      <c r="AD101" s="2" t="n">
        <f aca="false">100*(Z101-U101)/U101</f>
        <v>0</v>
      </c>
      <c r="AE101" s="6" t="n">
        <f aca="false">AVERAGE(AD92:AD101)</f>
        <v>0.000605180343742435</v>
      </c>
      <c r="AF101" s="2" t="s">
        <v>429</v>
      </c>
      <c r="AG101" s="2" t="n">
        <v>49615</v>
      </c>
      <c r="AH101" s="2" t="n">
        <v>69.5787</v>
      </c>
      <c r="AI101" s="2" t="n">
        <f aca="false">100*(AG101-$O101)/$O101</f>
        <v>0.0019135708302714</v>
      </c>
      <c r="AJ101" s="6" t="n">
        <f aca="false">AVERAGE(AI92:AI101)</f>
        <v>0.0084649686251834</v>
      </c>
      <c r="AL101" s="2" t="s">
        <v>429</v>
      </c>
      <c r="AM101" s="2" t="n">
        <v>49615</v>
      </c>
      <c r="AN101" s="2" t="n">
        <v>43.9109</v>
      </c>
      <c r="AO101" s="2" t="n">
        <f aca="false">100*(AM101-$O101)/$O101</f>
        <v>0.0019135708302714</v>
      </c>
      <c r="AP101" s="6" t="n">
        <f aca="false">AVERAGE(AO92:AO101)</f>
        <v>0.0084649686251834</v>
      </c>
    </row>
    <row r="102" customFormat="false" ht="13.8" hidden="false" customHeight="false" outlineLevel="0" collapsed="false">
      <c r="A102" s="3" t="s">
        <v>203</v>
      </c>
      <c r="B102" s="2" t="n">
        <v>74952</v>
      </c>
      <c r="C102" s="2" t="n">
        <f aca="false">100*(B102-$O102)/$O102</f>
        <v>0.840840424128721</v>
      </c>
      <c r="E102" s="3" t="s">
        <v>430</v>
      </c>
      <c r="F102" s="2" t="n">
        <v>74908</v>
      </c>
      <c r="G102" s="2" t="n">
        <v>817.6188</v>
      </c>
      <c r="H102" s="2" t="n">
        <f aca="false">100*(F102-$U102)/$U102</f>
        <v>0.706173473019754</v>
      </c>
      <c r="I102" s="6"/>
      <c r="J102" s="6" t="n">
        <f aca="false">100*(F102-U102)/U102</f>
        <v>0.706173473019754</v>
      </c>
      <c r="K102" s="6"/>
      <c r="M102" s="2" t="s">
        <v>430</v>
      </c>
      <c r="N102" s="2" t="n">
        <v>75016</v>
      </c>
      <c r="O102" s="2" t="n">
        <v>74327.0283</v>
      </c>
      <c r="P102" s="2" t="n">
        <v>3604.0236</v>
      </c>
      <c r="Q102" s="2" t="n">
        <f aca="false">100*(N102-O102)/O102</f>
        <v>0.926946382437295</v>
      </c>
      <c r="S102" s="2" t="s">
        <v>430</v>
      </c>
      <c r="T102" s="2" t="n">
        <v>75089</v>
      </c>
      <c r="U102" s="2" t="n">
        <v>74382.7289</v>
      </c>
      <c r="V102" s="2" t="n">
        <v>3621.5965</v>
      </c>
      <c r="W102" s="2" t="n">
        <f aca="false">100*(T102-U102)/U102</f>
        <v>0.94950953056523</v>
      </c>
      <c r="Y102" s="2" t="s">
        <v>430</v>
      </c>
      <c r="Z102" s="2" t="n">
        <v>74855</v>
      </c>
      <c r="AA102" s="2" t="n">
        <v>692.9582</v>
      </c>
      <c r="AB102" s="2" t="n">
        <f aca="false">100*(Z102-O102)/O102</f>
        <v>0.710336081067289</v>
      </c>
      <c r="AD102" s="2" t="n">
        <f aca="false">100*(Z102-U102)/U102</f>
        <v>0.634920373296493</v>
      </c>
      <c r="AF102" s="2" t="s">
        <v>430</v>
      </c>
      <c r="AG102" s="2" t="n">
        <v>74759</v>
      </c>
      <c r="AH102" s="2" t="n">
        <v>1284.9534</v>
      </c>
      <c r="AI102" s="2" t="n">
        <f aca="false">100*(AG102-$O102)/$O102</f>
        <v>0.581177143604428</v>
      </c>
      <c r="AL102" s="2" t="s">
        <v>430</v>
      </c>
      <c r="AM102" s="2" t="n">
        <v>74854</v>
      </c>
      <c r="AN102" s="2" t="n">
        <v>925.6275</v>
      </c>
      <c r="AO102" s="2" t="n">
        <f aca="false">100*(AM102-$O102)/$O102</f>
        <v>0.708990675468717</v>
      </c>
    </row>
    <row r="103" customFormat="false" ht="13.8" hidden="false" customHeight="false" outlineLevel="0" collapsed="false">
      <c r="A103" s="3" t="s">
        <v>205</v>
      </c>
      <c r="B103" s="2" t="n">
        <v>76898</v>
      </c>
      <c r="C103" s="2" t="n">
        <f aca="false">100*(B103-$O103)/$O103</f>
        <v>0.00998305066318456</v>
      </c>
      <c r="E103" s="3" t="s">
        <v>431</v>
      </c>
      <c r="F103" s="2" t="n">
        <v>76898</v>
      </c>
      <c r="G103" s="2" t="n">
        <v>302.6012</v>
      </c>
      <c r="H103" s="2" t="n">
        <f aca="false">100*(F103-$U103)/$U103</f>
        <v>0</v>
      </c>
      <c r="I103" s="6"/>
      <c r="J103" s="6" t="n">
        <f aca="false">100*(F103-U103)/U103</f>
        <v>0</v>
      </c>
      <c r="K103" s="6"/>
      <c r="M103" s="2" t="s">
        <v>431</v>
      </c>
      <c r="N103" s="2" t="n">
        <v>76898</v>
      </c>
      <c r="O103" s="2" t="n">
        <v>76890.324</v>
      </c>
      <c r="P103" s="2" t="n">
        <v>2308.5674</v>
      </c>
      <c r="Q103" s="2" t="n">
        <f aca="false">100*(N103-O103)/O103</f>
        <v>0.00998305066318456</v>
      </c>
      <c r="S103" s="2" t="s">
        <v>431</v>
      </c>
      <c r="T103" s="2" t="n">
        <v>76898</v>
      </c>
      <c r="U103" s="2" t="n">
        <v>76898</v>
      </c>
      <c r="V103" s="2" t="n">
        <v>1356.1651</v>
      </c>
      <c r="W103" s="2" t="n">
        <f aca="false">100*(T103-U103)/U103</f>
        <v>0</v>
      </c>
      <c r="Y103" s="2" t="s">
        <v>431</v>
      </c>
      <c r="Z103" s="2" t="n">
        <v>76933</v>
      </c>
      <c r="AA103" s="2" t="n">
        <v>434.3641</v>
      </c>
      <c r="AB103" s="2" t="n">
        <f aca="false">100*(Z103-O103)/O103</f>
        <v>0.05550243226964</v>
      </c>
      <c r="AD103" s="2" t="n">
        <f aca="false">100*(Z103-U103)/U103</f>
        <v>0.0455148378371349</v>
      </c>
      <c r="AF103" s="2" t="s">
        <v>431</v>
      </c>
      <c r="AG103" s="2" t="n">
        <v>76898</v>
      </c>
      <c r="AH103" s="2" t="n">
        <v>643.422</v>
      </c>
      <c r="AI103" s="2" t="n">
        <f aca="false">100*(AG103-$O103)/$O103</f>
        <v>0.00998305066318456</v>
      </c>
      <c r="AL103" s="2" t="s">
        <v>431</v>
      </c>
      <c r="AM103" s="2" t="n">
        <v>76898</v>
      </c>
      <c r="AN103" s="2" t="n">
        <v>356.7976</v>
      </c>
      <c r="AO103" s="2" t="n">
        <f aca="false">100*(AM103-$O103)/$O103</f>
        <v>0.00998305066318456</v>
      </c>
    </row>
    <row r="104" customFormat="false" ht="13.8" hidden="false" customHeight="false" outlineLevel="0" collapsed="false">
      <c r="A104" s="3" t="s">
        <v>207</v>
      </c>
      <c r="B104" s="2" t="n">
        <v>82849</v>
      </c>
      <c r="C104" s="2" t="n">
        <f aca="false">100*(B104-$O104)/$O104</f>
        <v>0.27046253497567</v>
      </c>
      <c r="E104" s="3" t="s">
        <v>432</v>
      </c>
      <c r="F104" s="2" t="n">
        <v>82780</v>
      </c>
      <c r="G104" s="2" t="n">
        <v>429.4274</v>
      </c>
      <c r="H104" s="2" t="n">
        <f aca="false">100*(F104-$U104)/$U104</f>
        <v>0.183999569859905</v>
      </c>
      <c r="I104" s="6"/>
      <c r="J104" s="6" t="n">
        <f aca="false">100*(F104-U104)/U104</f>
        <v>0.183999569859905</v>
      </c>
      <c r="K104" s="6"/>
      <c r="M104" s="2" t="s">
        <v>432</v>
      </c>
      <c r="N104" s="2" t="n">
        <v>82735</v>
      </c>
      <c r="O104" s="2" t="n">
        <v>82625.5289</v>
      </c>
      <c r="P104" s="2" t="n">
        <v>3600.6451</v>
      </c>
      <c r="Q104" s="2" t="n">
        <f aca="false">100*(N104-O104)/O104</f>
        <v>0.132490649630196</v>
      </c>
      <c r="S104" s="2" t="s">
        <v>432</v>
      </c>
      <c r="T104" s="2" t="n">
        <v>82747</v>
      </c>
      <c r="U104" s="2" t="n">
        <v>82627.9649</v>
      </c>
      <c r="V104" s="2" t="n">
        <v>3601.2405</v>
      </c>
      <c r="W104" s="2" t="n">
        <f aca="false">100*(T104-U104)/U104</f>
        <v>0.144061517361653</v>
      </c>
      <c r="Y104" s="2" t="s">
        <v>432</v>
      </c>
      <c r="Z104" s="2" t="n">
        <v>82749</v>
      </c>
      <c r="AA104" s="2" t="n">
        <v>486.0187</v>
      </c>
      <c r="AB104" s="2" t="n">
        <f aca="false">100*(Z104-O104)/O104</f>
        <v>0.149434565374377</v>
      </c>
      <c r="AD104" s="2" t="n">
        <f aca="false">100*(Z104-U104)/U104</f>
        <v>0.14648200539185</v>
      </c>
      <c r="AF104" s="2" t="s">
        <v>432</v>
      </c>
      <c r="AG104" s="2" t="n">
        <v>82749</v>
      </c>
      <c r="AH104" s="2" t="n">
        <v>766.7472</v>
      </c>
      <c r="AI104" s="2" t="n">
        <f aca="false">100*(AG104-$O104)/$O104</f>
        <v>0.149434565374377</v>
      </c>
      <c r="AL104" s="2" t="s">
        <v>432</v>
      </c>
      <c r="AM104" s="2" t="n">
        <v>82749</v>
      </c>
      <c r="AN104" s="2" t="n">
        <v>544.9536</v>
      </c>
      <c r="AO104" s="2" t="n">
        <f aca="false">100*(AM104-$O104)/$O104</f>
        <v>0.149434565374377</v>
      </c>
    </row>
    <row r="105" customFormat="false" ht="13.8" hidden="false" customHeight="false" outlineLevel="0" collapsed="false">
      <c r="A105" s="3" t="s">
        <v>209</v>
      </c>
      <c r="B105" s="2" t="n">
        <v>83247</v>
      </c>
      <c r="C105" s="2" t="n">
        <f aca="false">100*(B105-$O105)/$O105</f>
        <v>0.596600181002832</v>
      </c>
      <c r="E105" s="3" t="s">
        <v>433</v>
      </c>
      <c r="F105" s="2" t="n">
        <v>83238</v>
      </c>
      <c r="G105" s="2" t="n">
        <v>1053.9531</v>
      </c>
      <c r="H105" s="2" t="n">
        <f aca="false">100*(F105-$U105)/$U105</f>
        <v>0.486902005313919</v>
      </c>
      <c r="I105" s="6"/>
      <c r="J105" s="6" t="n">
        <f aca="false">100*(F105-U105)/U105</f>
        <v>0.486902005313919</v>
      </c>
      <c r="K105" s="6"/>
      <c r="M105" s="2" t="s">
        <v>433</v>
      </c>
      <c r="N105" s="2" t="n">
        <v>83325</v>
      </c>
      <c r="O105" s="2" t="n">
        <v>82753.2937</v>
      </c>
      <c r="P105" s="2" t="n">
        <v>3600.4316</v>
      </c>
      <c r="Q105" s="2" t="n">
        <f aca="false">100*(N105-O105)/O105</f>
        <v>0.69085624805772</v>
      </c>
      <c r="S105" s="2" t="s">
        <v>433</v>
      </c>
      <c r="T105" s="2" t="n">
        <v>83140</v>
      </c>
      <c r="U105" s="2" t="n">
        <v>82834.6763</v>
      </c>
      <c r="V105" s="2" t="n">
        <v>3618.8457</v>
      </c>
      <c r="W105" s="2" t="n">
        <f aca="false">100*(T105-U105)/U105</f>
        <v>0.368594064271117</v>
      </c>
      <c r="Y105" s="2" t="s">
        <v>433</v>
      </c>
      <c r="Z105" s="2" t="n">
        <v>83182</v>
      </c>
      <c r="AA105" s="2" t="n">
        <v>654.4761</v>
      </c>
      <c r="AB105" s="2" t="n">
        <f aca="false">100*(Z105-O105)/O105</f>
        <v>0.518053458457093</v>
      </c>
      <c r="AD105" s="2" t="n">
        <f aca="false">100*(Z105-U105)/U105</f>
        <v>0.419297467575175</v>
      </c>
      <c r="AF105" s="2" t="s">
        <v>433</v>
      </c>
      <c r="AG105" s="2" t="n">
        <v>83134</v>
      </c>
      <c r="AH105" s="2" t="n">
        <v>1464.4512</v>
      </c>
      <c r="AI105" s="2" t="n">
        <f aca="false">100*(AG105-$O105)/$O105</f>
        <v>0.460049724884854</v>
      </c>
      <c r="AL105" s="2" t="s">
        <v>433</v>
      </c>
      <c r="AM105" s="2" t="n">
        <v>83169</v>
      </c>
      <c r="AN105" s="2" t="n">
        <v>1448.6482</v>
      </c>
      <c r="AO105" s="2" t="n">
        <f aca="false">100*(AM105-$O105)/$O105</f>
        <v>0.502344113947945</v>
      </c>
    </row>
    <row r="106" customFormat="false" ht="13.8" hidden="false" customHeight="false" outlineLevel="0" collapsed="false">
      <c r="A106" s="3" t="s">
        <v>211</v>
      </c>
      <c r="B106" s="2" t="n">
        <v>74756</v>
      </c>
      <c r="C106" s="2" t="n">
        <f aca="false">100*(B106-$O106)/$O106</f>
        <v>0.235852456139748</v>
      </c>
      <c r="E106" s="3" t="s">
        <v>434</v>
      </c>
      <c r="F106" s="2" t="n">
        <v>74718</v>
      </c>
      <c r="G106" s="2" t="n">
        <v>456.6015</v>
      </c>
      <c r="H106" s="2" t="n">
        <f aca="false">100*(F106-$U106)/$U106</f>
        <v>0.1004782765966</v>
      </c>
      <c r="I106" s="6"/>
      <c r="J106" s="6" t="n">
        <f aca="false">100*(F106-U106)/U106</f>
        <v>0.1004782765966</v>
      </c>
      <c r="K106" s="6"/>
      <c r="M106" s="2" t="s">
        <v>434</v>
      </c>
      <c r="N106" s="2" t="n">
        <v>74720</v>
      </c>
      <c r="O106" s="2" t="n">
        <v>74580.101</v>
      </c>
      <c r="P106" s="2" t="n">
        <v>3600.4293</v>
      </c>
      <c r="Q106" s="2" t="n">
        <f aca="false">100*(N106-O106)/O106</f>
        <v>0.187582207752715</v>
      </c>
      <c r="S106" s="2" t="s">
        <v>434</v>
      </c>
      <c r="T106" s="2" t="n">
        <v>74643</v>
      </c>
      <c r="U106" s="2" t="n">
        <v>74643</v>
      </c>
      <c r="V106" s="2" t="n">
        <v>3077.4086</v>
      </c>
      <c r="W106" s="2" t="n">
        <f aca="false">100*(T106-U106)/U106</f>
        <v>0</v>
      </c>
      <c r="Y106" s="2" t="s">
        <v>434</v>
      </c>
      <c r="Z106" s="2" t="n">
        <v>74677</v>
      </c>
      <c r="AA106" s="2" t="n">
        <v>454.6446</v>
      </c>
      <c r="AB106" s="2" t="n">
        <f aca="false">100*(Z106-O106)/O106</f>
        <v>0.12992607773487</v>
      </c>
      <c r="AD106" s="2" t="n">
        <f aca="false">100*(Z106-U106)/U106</f>
        <v>0.0455501520571253</v>
      </c>
      <c r="AF106" s="2" t="s">
        <v>434</v>
      </c>
      <c r="AG106" s="2" t="n">
        <v>74718</v>
      </c>
      <c r="AH106" s="2" t="n">
        <v>700.0972</v>
      </c>
      <c r="AI106" s="2" t="n">
        <f aca="false">100*(AG106-$O106)/$O106</f>
        <v>0.184900527286769</v>
      </c>
      <c r="AL106" s="2" t="s">
        <v>434</v>
      </c>
      <c r="AM106" s="2" t="n">
        <v>74750</v>
      </c>
      <c r="AN106" s="2" t="n">
        <v>462.8318</v>
      </c>
      <c r="AO106" s="2" t="n">
        <f aca="false">100*(AM106-$O106)/$O106</f>
        <v>0.227807414741909</v>
      </c>
    </row>
    <row r="107" customFormat="false" ht="13.8" hidden="false" customHeight="false" outlineLevel="0" collapsed="false">
      <c r="A107" s="3" t="s">
        <v>213</v>
      </c>
      <c r="B107" s="2" t="n">
        <v>83188</v>
      </c>
      <c r="C107" s="2" t="n">
        <f aca="false">100*(B107-$O107)/$O107</f>
        <v>0.0942215009607106</v>
      </c>
      <c r="E107" s="3" t="s">
        <v>435</v>
      </c>
      <c r="F107" s="2" t="n">
        <v>83206</v>
      </c>
      <c r="G107" s="2" t="n">
        <v>452.0068</v>
      </c>
      <c r="H107" s="2" t="n">
        <f aca="false">100*(F107-$U107)/$U107</f>
        <v>0.0432848382830348</v>
      </c>
      <c r="I107" s="6"/>
      <c r="J107" s="6" t="n">
        <f aca="false">100*(F107-U107)/U107</f>
        <v>0.0432848382830348</v>
      </c>
      <c r="K107" s="6"/>
      <c r="M107" s="2" t="s">
        <v>435</v>
      </c>
      <c r="N107" s="2" t="n">
        <v>83186</v>
      </c>
      <c r="O107" s="2" t="n">
        <v>83109.6928</v>
      </c>
      <c r="P107" s="2" t="n">
        <v>3600.3061</v>
      </c>
      <c r="Q107" s="2" t="n">
        <f aca="false">100*(N107-O107)/O107</f>
        <v>0.0918150427816232</v>
      </c>
      <c r="S107" s="2" t="s">
        <v>435</v>
      </c>
      <c r="T107" s="2" t="n">
        <v>83170</v>
      </c>
      <c r="U107" s="2" t="n">
        <v>83170</v>
      </c>
      <c r="V107" s="2" t="n">
        <v>2181.1302</v>
      </c>
      <c r="W107" s="2" t="n">
        <f aca="false">100*(T107-U107)/U107</f>
        <v>0</v>
      </c>
      <c r="Y107" s="2" t="s">
        <v>435</v>
      </c>
      <c r="Z107" s="2" t="n">
        <v>83206</v>
      </c>
      <c r="AA107" s="2" t="n">
        <v>484.7833</v>
      </c>
      <c r="AB107" s="2" t="n">
        <f aca="false">100*(Z107-O107)/O107</f>
        <v>0.115879624572497</v>
      </c>
      <c r="AD107" s="2" t="n">
        <f aca="false">100*(Z107-U107)/U107</f>
        <v>0.0432848382830348</v>
      </c>
      <c r="AF107" s="2" t="s">
        <v>435</v>
      </c>
      <c r="AG107" s="2" t="n">
        <v>83206</v>
      </c>
      <c r="AH107" s="2" t="n">
        <v>733.9634</v>
      </c>
      <c r="AI107" s="2" t="n">
        <f aca="false">100*(AG107-$O107)/$O107</f>
        <v>0.115879624572497</v>
      </c>
      <c r="AL107" s="2" t="s">
        <v>435</v>
      </c>
      <c r="AM107" s="2" t="n">
        <v>83189</v>
      </c>
      <c r="AN107" s="2" t="n">
        <v>637.2221</v>
      </c>
      <c r="AO107" s="2" t="n">
        <f aca="false">100*(AM107-$O107)/$O107</f>
        <v>0.0954247300502543</v>
      </c>
    </row>
    <row r="108" customFormat="false" ht="13.8" hidden="false" customHeight="false" outlineLevel="0" collapsed="false">
      <c r="A108" s="3" t="s">
        <v>215</v>
      </c>
      <c r="B108" s="2" t="n">
        <v>83960</v>
      </c>
      <c r="C108" s="2" t="n">
        <f aca="false">100*(B108-$O108)/$O108</f>
        <v>0.790681649384759</v>
      </c>
      <c r="E108" s="3" t="s">
        <v>436</v>
      </c>
      <c r="F108" s="2" t="n">
        <v>83735</v>
      </c>
      <c r="G108" s="2" t="n">
        <v>881.6932</v>
      </c>
      <c r="H108" s="2" t="n">
        <f aca="false">100*(F108-$U108)/$U108</f>
        <v>0.363444156066293</v>
      </c>
      <c r="I108" s="6"/>
      <c r="J108" s="6" t="n">
        <f aca="false">100*(F108-U108)/U108</f>
        <v>0.363444156066293</v>
      </c>
      <c r="K108" s="6"/>
      <c r="M108" s="2" t="s">
        <v>436</v>
      </c>
      <c r="N108" s="2" t="n">
        <v>83905</v>
      </c>
      <c r="O108" s="2" t="n">
        <v>83301.3515</v>
      </c>
      <c r="P108" s="2" t="n">
        <v>3602.2211</v>
      </c>
      <c r="Q108" s="2" t="n">
        <f aca="false">100*(N108-O108)/O108</f>
        <v>0.724656310047978</v>
      </c>
      <c r="S108" s="2" t="s">
        <v>436</v>
      </c>
      <c r="T108" s="2" t="n">
        <v>83765</v>
      </c>
      <c r="U108" s="2" t="n">
        <v>83431.7721</v>
      </c>
      <c r="V108" s="2" t="n">
        <v>3607.3914</v>
      </c>
      <c r="W108" s="2" t="n">
        <f aca="false">100*(T108-U108)/U108</f>
        <v>0.399401680693773</v>
      </c>
      <c r="Y108" s="2" t="s">
        <v>436</v>
      </c>
      <c r="Z108" s="2" t="n">
        <v>83732</v>
      </c>
      <c r="AA108" s="2" t="n">
        <v>677.5189</v>
      </c>
      <c r="AB108" s="2" t="n">
        <f aca="false">100*(Z108-O108)/O108</f>
        <v>0.51697660631592</v>
      </c>
      <c r="AD108" s="2" t="n">
        <f aca="false">100*(Z108-U108)/U108</f>
        <v>0.359848403603545</v>
      </c>
      <c r="AF108" s="2" t="s">
        <v>436</v>
      </c>
      <c r="AG108" s="2" t="n">
        <v>83727</v>
      </c>
      <c r="AH108" s="2" t="n">
        <v>806.8783</v>
      </c>
      <c r="AI108" s="2" t="n">
        <f aca="false">100*(AG108-$O108)/$O108</f>
        <v>0.510974302739849</v>
      </c>
      <c r="AL108" s="2" t="s">
        <v>436</v>
      </c>
      <c r="AM108" s="2" t="n">
        <v>83727</v>
      </c>
      <c r="AN108" s="2" t="n">
        <v>612.979</v>
      </c>
      <c r="AO108" s="2" t="n">
        <f aca="false">100*(AM108-$O108)/$O108</f>
        <v>0.510974302739849</v>
      </c>
    </row>
    <row r="109" customFormat="false" ht="13.8" hidden="false" customHeight="false" outlineLevel="0" collapsed="false">
      <c r="A109" s="3" t="s">
        <v>217</v>
      </c>
      <c r="B109" s="2" t="n">
        <v>81361</v>
      </c>
      <c r="C109" s="2" t="n">
        <f aca="false">100*(B109-$O109)/$O109</f>
        <v>0.314417967969464</v>
      </c>
      <c r="E109" s="3" t="s">
        <v>437</v>
      </c>
      <c r="F109" s="2" t="n">
        <v>81447</v>
      </c>
      <c r="G109" s="2" t="n">
        <v>922.3521</v>
      </c>
      <c r="H109" s="2" t="n">
        <f aca="false">100*(F109-$U109)/$U109</f>
        <v>0.274094590558852</v>
      </c>
      <c r="I109" s="6"/>
      <c r="J109" s="6" t="n">
        <f aca="false">100*(F109-U109)/U109</f>
        <v>0.274094590558852</v>
      </c>
      <c r="K109" s="6"/>
      <c r="M109" s="2" t="s">
        <v>437</v>
      </c>
      <c r="N109" s="2" t="n">
        <v>81481</v>
      </c>
      <c r="O109" s="2" t="n">
        <v>81105.9882</v>
      </c>
      <c r="P109" s="2" t="n">
        <v>3603.3931</v>
      </c>
      <c r="Q109" s="2" t="n">
        <f aca="false">100*(N109-O109)/O109</f>
        <v>0.462372518136698</v>
      </c>
      <c r="S109" s="2" t="s">
        <v>437</v>
      </c>
      <c r="T109" s="2" t="n">
        <v>81302</v>
      </c>
      <c r="U109" s="2" t="n">
        <v>81224.3684</v>
      </c>
      <c r="V109" s="2" t="n">
        <v>3600.4599</v>
      </c>
      <c r="W109" s="2" t="n">
        <f aca="false">100*(T109-U109)/U109</f>
        <v>0.0955767358112117</v>
      </c>
      <c r="Y109" s="2" t="s">
        <v>437</v>
      </c>
      <c r="Z109" s="2" t="n">
        <v>81418</v>
      </c>
      <c r="AA109" s="2" t="n">
        <v>596.2394</v>
      </c>
      <c r="AB109" s="2" t="n">
        <f aca="false">100*(Z109-O109)/O109</f>
        <v>0.3846963792989</v>
      </c>
      <c r="AD109" s="2" t="n">
        <f aca="false">100*(Z109-U109)/U109</f>
        <v>0.238391019609324</v>
      </c>
      <c r="AF109" s="2" t="s">
        <v>437</v>
      </c>
      <c r="AG109" s="2" t="n">
        <v>81396</v>
      </c>
      <c r="AH109" s="2" t="n">
        <v>948.9491</v>
      </c>
      <c r="AI109" s="2" t="n">
        <f aca="false">100*(AG109-$O109)/$O109</f>
        <v>0.357571378434907</v>
      </c>
      <c r="AL109" s="2" t="s">
        <v>437</v>
      </c>
      <c r="AM109" s="2" t="n">
        <v>81396</v>
      </c>
      <c r="AN109" s="2" t="n">
        <v>744.137</v>
      </c>
      <c r="AO109" s="2" t="n">
        <f aca="false">100*(AM109-$O109)/$O109</f>
        <v>0.357571378434907</v>
      </c>
    </row>
    <row r="110" customFormat="false" ht="13.8" hidden="false" customHeight="false" outlineLevel="0" collapsed="false">
      <c r="A110" s="3" t="s">
        <v>219</v>
      </c>
      <c r="B110" s="2" t="n">
        <v>81041</v>
      </c>
      <c r="C110" s="2" t="n">
        <f aca="false">100*(B110-$O110)/$O110</f>
        <v>0.0482697315870221</v>
      </c>
      <c r="E110" s="3" t="s">
        <v>438</v>
      </c>
      <c r="F110" s="2" t="n">
        <v>81146</v>
      </c>
      <c r="G110" s="2" t="n">
        <v>487.5125</v>
      </c>
      <c r="H110" s="2" t="n">
        <f aca="false">100*(F110-$U110)/$U110</f>
        <v>0.167880508579188</v>
      </c>
      <c r="I110" s="6"/>
      <c r="J110" s="6" t="n">
        <f aca="false">100*(F110-U110)/U110</f>
        <v>0.167880508579188</v>
      </c>
      <c r="K110" s="6"/>
      <c r="M110" s="2" t="s">
        <v>438</v>
      </c>
      <c r="N110" s="2" t="n">
        <v>81010</v>
      </c>
      <c r="O110" s="2" t="n">
        <v>81001.9006</v>
      </c>
      <c r="P110" s="2" t="n">
        <v>3337.1967</v>
      </c>
      <c r="Q110" s="2" t="n">
        <f aca="false">100*(N110-O110)/O110</f>
        <v>0.00999902464017792</v>
      </c>
      <c r="S110" s="2" t="s">
        <v>438</v>
      </c>
      <c r="T110" s="2" t="n">
        <v>81010</v>
      </c>
      <c r="U110" s="2" t="n">
        <v>81010</v>
      </c>
      <c r="V110" s="2" t="n">
        <v>2379.8518</v>
      </c>
      <c r="W110" s="2" t="n">
        <f aca="false">100*(T110-U110)/U110</f>
        <v>0</v>
      </c>
      <c r="Y110" s="2" t="s">
        <v>438</v>
      </c>
      <c r="Z110" s="2" t="n">
        <v>81118</v>
      </c>
      <c r="AA110" s="2" t="n">
        <v>574.9385</v>
      </c>
      <c r="AB110" s="2" t="n">
        <f aca="false">100*(Z110-O110)/O110</f>
        <v>0.143329229487248</v>
      </c>
      <c r="AD110" s="2" t="n">
        <f aca="false">100*(Z110-U110)/U110</f>
        <v>0.133316874459943</v>
      </c>
      <c r="AF110" s="2" t="s">
        <v>438</v>
      </c>
      <c r="AG110" s="2" t="n">
        <v>81098</v>
      </c>
      <c r="AH110" s="2" t="n">
        <v>825.7819</v>
      </c>
      <c r="AI110" s="2" t="n">
        <f aca="false">100*(AG110-$O110)/$O110</f>
        <v>0.118638450811865</v>
      </c>
      <c r="AL110" s="2" t="s">
        <v>438</v>
      </c>
      <c r="AM110" s="2" t="n">
        <v>81098</v>
      </c>
      <c r="AN110" s="2" t="n">
        <v>564.6226</v>
      </c>
      <c r="AO110" s="2" t="n">
        <f aca="false">100*(AM110-$O110)/$O110</f>
        <v>0.118638450811865</v>
      </c>
    </row>
    <row r="111" customFormat="false" ht="13.8" hidden="false" customHeight="false" outlineLevel="0" collapsed="false">
      <c r="A111" s="3" t="s">
        <v>221</v>
      </c>
      <c r="B111" s="2" t="n">
        <v>83316</v>
      </c>
      <c r="C111" s="2" t="n">
        <f aca="false">100*(B111-$O111)/$O111</f>
        <v>0.437391846206207</v>
      </c>
      <c r="E111" s="3" t="s">
        <v>439</v>
      </c>
      <c r="F111" s="2" t="n">
        <v>83178</v>
      </c>
      <c r="G111" s="2" t="n">
        <v>502.8858</v>
      </c>
      <c r="H111" s="2" t="n">
        <f aca="false">100*(F111-$U111)/$U111</f>
        <v>0.170934767047751</v>
      </c>
      <c r="I111" s="7" t="n">
        <f aca="false">AVERAGE(H102:H111)</f>
        <v>0.24971921853253</v>
      </c>
      <c r="J111" s="6" t="n">
        <f aca="false">100*(F111-U111)/U111</f>
        <v>0.170934767047751</v>
      </c>
      <c r="K111" s="6" t="n">
        <f aca="false">AVERAGE(J102:J111)</f>
        <v>0.24971921853253</v>
      </c>
      <c r="M111" s="2" t="s">
        <v>439</v>
      </c>
      <c r="N111" s="2" t="n">
        <v>83249</v>
      </c>
      <c r="O111" s="2" t="n">
        <v>82953.1696</v>
      </c>
      <c r="P111" s="2" t="n">
        <v>3600.4561</v>
      </c>
      <c r="Q111" s="2" t="n">
        <f aca="false">100*(N111-O111)/O111</f>
        <v>0.356623383321577</v>
      </c>
      <c r="R111" s="6" t="n">
        <f aca="false">AVERAGE(Q102:Q111)</f>
        <v>0.359332481746916</v>
      </c>
      <c r="S111" s="2" t="s">
        <v>439</v>
      </c>
      <c r="T111" s="2" t="n">
        <v>83160</v>
      </c>
      <c r="U111" s="2" t="n">
        <v>83036.0625</v>
      </c>
      <c r="V111" s="2" t="n">
        <v>3600.9491</v>
      </c>
      <c r="W111" s="2" t="n">
        <f aca="false">100*(T111-U111)/U111</f>
        <v>0.149257438597838</v>
      </c>
      <c r="X111" s="7" t="n">
        <f aca="false">AVERAGE(W102:W111)</f>
        <v>0.210640096730082</v>
      </c>
      <c r="Y111" s="2" t="s">
        <v>439</v>
      </c>
      <c r="Z111" s="2" t="n">
        <v>83251</v>
      </c>
      <c r="AA111" s="2" t="n">
        <v>688.5534</v>
      </c>
      <c r="AB111" s="2" t="n">
        <f aca="false">100*(Z111-O111)/O111</f>
        <v>0.359034382213656</v>
      </c>
      <c r="AC111" s="6" t="n">
        <f aca="false">AVERAGE(AB102:AB111)</f>
        <v>0.308316883679149</v>
      </c>
      <c r="AD111" s="2" t="n">
        <f aca="false">100*(Z111-U111)/U111</f>
        <v>0.258848376872398</v>
      </c>
      <c r="AE111" s="6" t="n">
        <f aca="false">AVERAGE(AD102:AD111)</f>
        <v>0.232545434898602</v>
      </c>
      <c r="AF111" s="2" t="s">
        <v>439</v>
      </c>
      <c r="AG111" s="2" t="n">
        <v>83208</v>
      </c>
      <c r="AH111" s="2" t="n">
        <v>941.8588</v>
      </c>
      <c r="AI111" s="2" t="n">
        <f aca="false">100*(AG111-$O111)/$O111</f>
        <v>0.307197906033968</v>
      </c>
      <c r="AJ111" s="6" t="n">
        <f aca="false">AVERAGE(AI102:AI111)</f>
        <v>0.27958066744067</v>
      </c>
      <c r="AL111" s="2" t="s">
        <v>439</v>
      </c>
      <c r="AM111" s="2" t="n">
        <v>83293</v>
      </c>
      <c r="AN111" s="2" t="n">
        <v>627.4354</v>
      </c>
      <c r="AO111" s="2" t="n">
        <f aca="false">100*(AM111-$O111)/$O111</f>
        <v>0.409665358947304</v>
      </c>
      <c r="AP111" s="6" t="n">
        <f aca="false">AVERAGE(AO102:AO111)</f>
        <v>0.309083404118031</v>
      </c>
    </row>
    <row r="112" customFormat="false" ht="13.8" hidden="false" customHeight="false" outlineLevel="0" collapsed="false">
      <c r="A112" s="3" t="s">
        <v>223</v>
      </c>
      <c r="B112" s="2" t="n">
        <v>47673</v>
      </c>
      <c r="C112" s="2" t="n">
        <f aca="false">100*(B112-$O112)/$O112</f>
        <v>0.00985413730705334</v>
      </c>
      <c r="E112" s="3" t="s">
        <v>440</v>
      </c>
      <c r="F112" s="2" t="n">
        <v>47673</v>
      </c>
      <c r="G112" s="2" t="n">
        <v>171.9015</v>
      </c>
      <c r="H112" s="2" t="n">
        <f aca="false">100*(F112-$U112)/$U112</f>
        <v>0</v>
      </c>
      <c r="I112" s="6"/>
      <c r="J112" s="6" t="n">
        <f aca="false">100*(F112-U112)/U112</f>
        <v>0</v>
      </c>
      <c r="K112" s="6"/>
      <c r="M112" s="2" t="s">
        <v>440</v>
      </c>
      <c r="N112" s="2" t="n">
        <v>47673</v>
      </c>
      <c r="O112" s="2" t="n">
        <v>47668.3027</v>
      </c>
      <c r="P112" s="2" t="n">
        <v>54.1967</v>
      </c>
      <c r="Q112" s="2" t="n">
        <f aca="false">100*(N112-O112)/O112</f>
        <v>0.00985413730705334</v>
      </c>
      <c r="S112" s="2" t="s">
        <v>440</v>
      </c>
      <c r="T112" s="2" t="n">
        <v>47673</v>
      </c>
      <c r="U112" s="2" t="n">
        <v>47673</v>
      </c>
      <c r="V112" s="2" t="n">
        <v>130.6087</v>
      </c>
      <c r="W112" s="2" t="n">
        <f aca="false">100*(T112-U112)/U112</f>
        <v>0</v>
      </c>
      <c r="Y112" s="2" t="s">
        <v>440</v>
      </c>
      <c r="Z112" s="2" t="n">
        <v>47673</v>
      </c>
      <c r="AA112" s="2" t="n">
        <v>124.3002</v>
      </c>
      <c r="AB112" s="2" t="n">
        <f aca="false">100*(Z112-O112)/O112</f>
        <v>0.00985413730705334</v>
      </c>
      <c r="AD112" s="2" t="n">
        <f aca="false">100*(Z112-U112)/U112</f>
        <v>0</v>
      </c>
      <c r="AF112" s="2" t="s">
        <v>440</v>
      </c>
      <c r="AG112" s="2" t="n">
        <v>47673</v>
      </c>
      <c r="AH112" s="2" t="n">
        <v>181.4393</v>
      </c>
      <c r="AI112" s="2" t="n">
        <f aca="false">100*(AG112-$O112)/$O112</f>
        <v>0.00985413730705334</v>
      </c>
      <c r="AL112" s="2" t="s">
        <v>440</v>
      </c>
      <c r="AM112" s="2" t="n">
        <v>47673</v>
      </c>
      <c r="AN112" s="2" t="n">
        <v>150.053</v>
      </c>
      <c r="AO112" s="2" t="n">
        <f aca="false">100*(AM112-$O112)/$O112</f>
        <v>0.00985413730705334</v>
      </c>
    </row>
    <row r="113" customFormat="false" ht="13.8" hidden="false" customHeight="false" outlineLevel="0" collapsed="false">
      <c r="A113" s="3" t="s">
        <v>225</v>
      </c>
      <c r="B113" s="2" t="n">
        <v>48511</v>
      </c>
      <c r="C113" s="2" t="n">
        <f aca="false">100*(B113-$O113)/$O113</f>
        <v>0.00972038984225757</v>
      </c>
      <c r="E113" s="3" t="s">
        <v>441</v>
      </c>
      <c r="F113" s="2" t="n">
        <v>48511</v>
      </c>
      <c r="G113" s="2" t="n">
        <v>157.5621</v>
      </c>
      <c r="H113" s="2" t="n">
        <f aca="false">100*(F113-$U113)/$U113</f>
        <v>0</v>
      </c>
      <c r="I113" s="6"/>
      <c r="J113" s="6" t="n">
        <f aca="false">100*(F113-U113)/U113</f>
        <v>0</v>
      </c>
      <c r="K113" s="6"/>
      <c r="M113" s="2" t="s">
        <v>441</v>
      </c>
      <c r="N113" s="2" t="n">
        <v>48511</v>
      </c>
      <c r="O113" s="2" t="n">
        <v>48506.285</v>
      </c>
      <c r="P113" s="2" t="n">
        <v>78.2704</v>
      </c>
      <c r="Q113" s="2" t="n">
        <f aca="false">100*(N113-O113)/O113</f>
        <v>0.00972038984225757</v>
      </c>
      <c r="S113" s="2" t="s">
        <v>441</v>
      </c>
      <c r="T113" s="2" t="n">
        <v>48511</v>
      </c>
      <c r="U113" s="2" t="n">
        <v>48511</v>
      </c>
      <c r="V113" s="2" t="n">
        <v>173.3962</v>
      </c>
      <c r="W113" s="2" t="n">
        <f aca="false">100*(T113-U113)/U113</f>
        <v>0</v>
      </c>
      <c r="Y113" s="2" t="s">
        <v>441</v>
      </c>
      <c r="Z113" s="2" t="n">
        <v>48511</v>
      </c>
      <c r="AA113" s="2" t="n">
        <v>113.1972</v>
      </c>
      <c r="AB113" s="2" t="n">
        <f aca="false">100*(Z113-O113)/O113</f>
        <v>0.00972038984225757</v>
      </c>
      <c r="AD113" s="2" t="n">
        <f aca="false">100*(Z113-U113)/U113</f>
        <v>0</v>
      </c>
      <c r="AF113" s="2" t="s">
        <v>441</v>
      </c>
      <c r="AG113" s="2" t="n">
        <v>48511</v>
      </c>
      <c r="AH113" s="2" t="n">
        <v>152.5701</v>
      </c>
      <c r="AI113" s="2" t="n">
        <f aca="false">100*(AG113-$O113)/$O113</f>
        <v>0.00972038984225757</v>
      </c>
      <c r="AL113" s="2" t="s">
        <v>441</v>
      </c>
      <c r="AM113" s="2" t="n">
        <v>48511</v>
      </c>
      <c r="AN113" s="2" t="n">
        <v>123.5586</v>
      </c>
      <c r="AO113" s="2" t="n">
        <f aca="false">100*(AM113-$O113)/$O113</f>
        <v>0.00972038984225757</v>
      </c>
    </row>
    <row r="114" customFormat="false" ht="13.8" hidden="false" customHeight="false" outlineLevel="0" collapsed="false">
      <c r="A114" s="3" t="s">
        <v>227</v>
      </c>
      <c r="B114" s="2" t="n">
        <v>50184</v>
      </c>
      <c r="C114" s="2" t="n">
        <f aca="false">100*(B114-$O114)/$O114</f>
        <v>0.0100004021803422</v>
      </c>
      <c r="E114" s="3" t="s">
        <v>442</v>
      </c>
      <c r="F114" s="2" t="n">
        <v>50184</v>
      </c>
      <c r="G114" s="2" t="n">
        <v>76.7962</v>
      </c>
      <c r="H114" s="2" t="n">
        <f aca="false">100*(F114-$U114)/$U114</f>
        <v>0</v>
      </c>
      <c r="I114" s="6"/>
      <c r="J114" s="6" t="n">
        <f aca="false">100*(F114-U114)/U114</f>
        <v>0</v>
      </c>
      <c r="K114" s="6"/>
      <c r="M114" s="2" t="s">
        <v>442</v>
      </c>
      <c r="N114" s="2" t="n">
        <v>50184</v>
      </c>
      <c r="O114" s="2" t="n">
        <v>50178.9819</v>
      </c>
      <c r="P114" s="2" t="n">
        <v>26.1491</v>
      </c>
      <c r="Q114" s="2" t="n">
        <f aca="false">100*(N114-O114)/O114</f>
        <v>0.0100004021803422</v>
      </c>
      <c r="S114" s="2" t="s">
        <v>442</v>
      </c>
      <c r="T114" s="2" t="n">
        <v>50184</v>
      </c>
      <c r="U114" s="2" t="n">
        <v>50184</v>
      </c>
      <c r="V114" s="2" t="n">
        <v>29.0657</v>
      </c>
      <c r="W114" s="2" t="n">
        <f aca="false">100*(T114-U114)/U114</f>
        <v>0</v>
      </c>
      <c r="Y114" s="2" t="s">
        <v>442</v>
      </c>
      <c r="Z114" s="2" t="n">
        <v>50184</v>
      </c>
      <c r="AA114" s="2" t="n">
        <v>25.749</v>
      </c>
      <c r="AB114" s="2" t="n">
        <f aca="false">100*(Z114-O114)/O114</f>
        <v>0.0100004021803422</v>
      </c>
      <c r="AD114" s="2" t="n">
        <f aca="false">100*(Z114-U114)/U114</f>
        <v>0</v>
      </c>
      <c r="AF114" s="2" t="s">
        <v>442</v>
      </c>
      <c r="AG114" s="2" t="n">
        <v>50184</v>
      </c>
      <c r="AH114" s="2" t="n">
        <v>52.0693</v>
      </c>
      <c r="AI114" s="2" t="n">
        <f aca="false">100*(AG114-$O114)/$O114</f>
        <v>0.0100004021803422</v>
      </c>
      <c r="AL114" s="2" t="s">
        <v>442</v>
      </c>
      <c r="AM114" s="2" t="n">
        <v>50184</v>
      </c>
      <c r="AN114" s="2" t="n">
        <v>54.4092</v>
      </c>
      <c r="AO114" s="2" t="n">
        <f aca="false">100*(AM114-$O114)/$O114</f>
        <v>0.0100004021803422</v>
      </c>
    </row>
    <row r="115" customFormat="false" ht="13.8" hidden="false" customHeight="false" outlineLevel="0" collapsed="false">
      <c r="A115" s="3" t="s">
        <v>229</v>
      </c>
      <c r="B115" s="2" t="n">
        <v>49375</v>
      </c>
      <c r="C115" s="2" t="n">
        <f aca="false">100*(B115-$O115)/$O115</f>
        <v>0.00994833136667758</v>
      </c>
      <c r="E115" s="3" t="s">
        <v>443</v>
      </c>
      <c r="F115" s="2" t="n">
        <v>49393</v>
      </c>
      <c r="G115" s="2" t="n">
        <v>339.7722</v>
      </c>
      <c r="H115" s="2" t="n">
        <f aca="false">100*(F115-$U115)/$U115</f>
        <v>0.0364556962025316</v>
      </c>
      <c r="I115" s="6"/>
      <c r="J115" s="6" t="n">
        <f aca="false">100*(F115-U115)/U115</f>
        <v>0.0364556962025316</v>
      </c>
      <c r="K115" s="6"/>
      <c r="M115" s="2" t="s">
        <v>443</v>
      </c>
      <c r="N115" s="2" t="n">
        <v>49375</v>
      </c>
      <c r="O115" s="2" t="n">
        <v>49370.0885</v>
      </c>
      <c r="P115" s="2" t="n">
        <v>132.7991</v>
      </c>
      <c r="Q115" s="2" t="n">
        <f aca="false">100*(N115-O115)/O115</f>
        <v>0.00994833136667758</v>
      </c>
      <c r="S115" s="2" t="s">
        <v>443</v>
      </c>
      <c r="T115" s="2" t="n">
        <v>49375</v>
      </c>
      <c r="U115" s="2" t="n">
        <v>49375</v>
      </c>
      <c r="V115" s="2" t="n">
        <v>380.6691</v>
      </c>
      <c r="W115" s="2" t="n">
        <f aca="false">100*(T115-U115)/U115</f>
        <v>0</v>
      </c>
      <c r="Y115" s="2" t="s">
        <v>443</v>
      </c>
      <c r="Z115" s="2" t="n">
        <v>49393</v>
      </c>
      <c r="AA115" s="2" t="n">
        <v>278.7055</v>
      </c>
      <c r="AB115" s="2" t="n">
        <f aca="false">100*(Z115-O115)/O115</f>
        <v>0.0464076543026695</v>
      </c>
      <c r="AD115" s="2" t="n">
        <f aca="false">100*(Z115-U115)/U115</f>
        <v>0.0364556962025316</v>
      </c>
      <c r="AF115" s="2" t="s">
        <v>443</v>
      </c>
      <c r="AG115" s="2" t="n">
        <v>49375</v>
      </c>
      <c r="AH115" s="2" t="n">
        <v>351.133</v>
      </c>
      <c r="AI115" s="2" t="n">
        <f aca="false">100*(AG115-$O115)/$O115</f>
        <v>0.00994833136667758</v>
      </c>
      <c r="AL115" s="2" t="s">
        <v>443</v>
      </c>
      <c r="AM115" s="2" t="n">
        <v>49393</v>
      </c>
      <c r="AN115" s="2" t="n">
        <v>248.4088</v>
      </c>
      <c r="AO115" s="2" t="n">
        <f aca="false">100*(AM115-$O115)/$O115</f>
        <v>0.0464076543026695</v>
      </c>
    </row>
    <row r="116" customFormat="false" ht="13.8" hidden="false" customHeight="false" outlineLevel="0" collapsed="false">
      <c r="A116" s="3" t="s">
        <v>231</v>
      </c>
      <c r="B116" s="2" t="n">
        <v>44843</v>
      </c>
      <c r="C116" s="2" t="n">
        <f aca="false">100*(B116-$O116)/$O116</f>
        <v>-0.0146382690015405</v>
      </c>
      <c r="E116" s="3" t="s">
        <v>444</v>
      </c>
      <c r="F116" s="2" t="n">
        <v>44852</v>
      </c>
      <c r="G116" s="2" t="n">
        <v>220.4524</v>
      </c>
      <c r="H116" s="2" t="n">
        <f aca="false">100*(F116-$U116)/$U116</f>
        <v>0</v>
      </c>
      <c r="I116" s="6"/>
      <c r="J116" s="6" t="n">
        <f aca="false">100*(F116-U116)/U116</f>
        <v>0</v>
      </c>
      <c r="K116" s="6"/>
      <c r="M116" s="2" t="s">
        <v>444</v>
      </c>
      <c r="N116" s="2" t="n">
        <v>44854</v>
      </c>
      <c r="O116" s="2" t="n">
        <v>44849.5652</v>
      </c>
      <c r="P116" s="2" t="n">
        <v>126.457</v>
      </c>
      <c r="Q116" s="2" t="n">
        <f aca="false">100*(N116-O116)/O116</f>
        <v>0.0098881672101533</v>
      </c>
      <c r="S116" s="2" t="s">
        <v>444</v>
      </c>
      <c r="T116" s="2" t="n">
        <v>44852</v>
      </c>
      <c r="U116" s="2" t="n">
        <v>44852</v>
      </c>
      <c r="V116" s="2" t="n">
        <v>397.2923</v>
      </c>
      <c r="W116" s="2" t="n">
        <f aca="false">100*(T116-U116)/U116</f>
        <v>0</v>
      </c>
      <c r="Y116" s="2" t="s">
        <v>444</v>
      </c>
      <c r="Z116" s="2" t="n">
        <v>44852</v>
      </c>
      <c r="AA116" s="2" t="n">
        <v>105.7622</v>
      </c>
      <c r="AB116" s="2" t="n">
        <f aca="false">100*(Z116-O116)/O116</f>
        <v>0.00542881517166352</v>
      </c>
      <c r="AD116" s="2" t="n">
        <f aca="false">100*(Z116-U116)/U116</f>
        <v>0</v>
      </c>
      <c r="AF116" s="2" t="s">
        <v>444</v>
      </c>
      <c r="AG116" s="2" t="n">
        <v>44852</v>
      </c>
      <c r="AH116" s="2" t="n">
        <v>222.7857</v>
      </c>
      <c r="AI116" s="2" t="n">
        <f aca="false">100*(AG116-$O116)/$O116</f>
        <v>0.00542881517166352</v>
      </c>
      <c r="AL116" s="2" t="s">
        <v>444</v>
      </c>
      <c r="AM116" s="2" t="n">
        <v>44852</v>
      </c>
      <c r="AN116" s="2" t="n">
        <v>226.0151</v>
      </c>
      <c r="AO116" s="2" t="n">
        <f aca="false">100*(AM116-$O116)/$O116</f>
        <v>0.00542881517166352</v>
      </c>
    </row>
    <row r="117" customFormat="false" ht="13.8" hidden="false" customHeight="false" outlineLevel="0" collapsed="false">
      <c r="A117" s="3" t="s">
        <v>233</v>
      </c>
      <c r="B117" s="2" t="n">
        <v>50398</v>
      </c>
      <c r="C117" s="2" t="n">
        <f aca="false">100*(B117-$O117)/$O117</f>
        <v>0.0093964937949462</v>
      </c>
      <c r="E117" s="3" t="s">
        <v>445</v>
      </c>
      <c r="F117" s="2" t="n">
        <v>50400</v>
      </c>
      <c r="G117" s="2" t="n">
        <v>29.852</v>
      </c>
      <c r="H117" s="2" t="n">
        <f aca="false">100*(F117-$U117)/$U117</f>
        <v>0.00396841144489861</v>
      </c>
      <c r="I117" s="6"/>
      <c r="J117" s="6" t="n">
        <f aca="false">100*(F117-U117)/U117</f>
        <v>0.00396841144489861</v>
      </c>
      <c r="K117" s="6"/>
      <c r="M117" s="2" t="s">
        <v>445</v>
      </c>
      <c r="N117" s="2" t="n">
        <v>50398</v>
      </c>
      <c r="O117" s="2" t="n">
        <v>50393.2648</v>
      </c>
      <c r="P117" s="2" t="n">
        <v>25.3169</v>
      </c>
      <c r="Q117" s="2" t="n">
        <f aca="false">100*(N117-O117)/O117</f>
        <v>0.0093964937949462</v>
      </c>
      <c r="S117" s="2" t="s">
        <v>445</v>
      </c>
      <c r="T117" s="2" t="n">
        <v>50398</v>
      </c>
      <c r="U117" s="2" t="n">
        <v>50398</v>
      </c>
      <c r="V117" s="2" t="n">
        <v>122.8229</v>
      </c>
      <c r="W117" s="2" t="n">
        <f aca="false">100*(T117-U117)/U117</f>
        <v>0</v>
      </c>
      <c r="Y117" s="2" t="s">
        <v>445</v>
      </c>
      <c r="Z117" s="2" t="n">
        <v>50398</v>
      </c>
      <c r="AA117" s="2" t="n">
        <v>41.2947</v>
      </c>
      <c r="AB117" s="2" t="n">
        <f aca="false">100*(Z117-O117)/O117</f>
        <v>0.0093964937949462</v>
      </c>
      <c r="AD117" s="2" t="n">
        <f aca="false">100*(Z117-U117)/U117</f>
        <v>0</v>
      </c>
      <c r="AF117" s="2" t="s">
        <v>445</v>
      </c>
      <c r="AG117" s="2" t="n">
        <v>50398</v>
      </c>
      <c r="AH117" s="2" t="n">
        <v>85.2038</v>
      </c>
      <c r="AI117" s="2" t="n">
        <f aca="false">100*(AG117-$O117)/$O117</f>
        <v>0.0093964937949462</v>
      </c>
      <c r="AL117" s="2" t="s">
        <v>445</v>
      </c>
      <c r="AM117" s="2" t="n">
        <v>50398</v>
      </c>
      <c r="AN117" s="2" t="n">
        <v>50.9331</v>
      </c>
      <c r="AO117" s="2" t="n">
        <f aca="false">100*(AM117-$O117)/$O117</f>
        <v>0.0093964937949462</v>
      </c>
    </row>
    <row r="118" customFormat="false" ht="13.8" hidden="false" customHeight="false" outlineLevel="0" collapsed="false">
      <c r="A118" s="3" t="s">
        <v>235</v>
      </c>
      <c r="B118" s="2" t="n">
        <v>49829</v>
      </c>
      <c r="C118" s="2" t="n">
        <f aca="false">100*(B118-$O118)/$O118</f>
        <v>0.00899777916361021</v>
      </c>
      <c r="E118" s="3" t="s">
        <v>446</v>
      </c>
      <c r="F118" s="2" t="n">
        <v>49829</v>
      </c>
      <c r="G118" s="2" t="n">
        <v>129.2006</v>
      </c>
      <c r="H118" s="2" t="n">
        <f aca="false">100*(F118-$U118)/$U118</f>
        <v>0</v>
      </c>
      <c r="I118" s="6"/>
      <c r="J118" s="6" t="n">
        <f aca="false">100*(F118-U118)/U118</f>
        <v>0</v>
      </c>
      <c r="K118" s="6"/>
      <c r="M118" s="2" t="s">
        <v>446</v>
      </c>
      <c r="N118" s="2" t="n">
        <v>49829</v>
      </c>
      <c r="O118" s="2" t="n">
        <v>49824.5169</v>
      </c>
      <c r="P118" s="2" t="n">
        <v>55.7647</v>
      </c>
      <c r="Q118" s="2" t="n">
        <f aca="false">100*(N118-O118)/O118</f>
        <v>0.00899777916361021</v>
      </c>
      <c r="S118" s="2" t="s">
        <v>446</v>
      </c>
      <c r="T118" s="2" t="n">
        <v>49829</v>
      </c>
      <c r="U118" s="2" t="n">
        <v>49829</v>
      </c>
      <c r="V118" s="2" t="n">
        <v>132.2031</v>
      </c>
      <c r="W118" s="2" t="n">
        <f aca="false">100*(T118-U118)/U118</f>
        <v>0</v>
      </c>
      <c r="Y118" s="2" t="s">
        <v>446</v>
      </c>
      <c r="Z118" s="2" t="n">
        <v>49829</v>
      </c>
      <c r="AA118" s="2" t="n">
        <v>95.0186</v>
      </c>
      <c r="AB118" s="2" t="n">
        <f aca="false">100*(Z118-O118)/O118</f>
        <v>0.00899777916361021</v>
      </c>
      <c r="AD118" s="2" t="n">
        <f aca="false">100*(Z118-U118)/U118</f>
        <v>0</v>
      </c>
      <c r="AF118" s="2" t="s">
        <v>446</v>
      </c>
      <c r="AG118" s="2" t="n">
        <v>49829</v>
      </c>
      <c r="AH118" s="2" t="n">
        <v>120.3031</v>
      </c>
      <c r="AI118" s="2" t="n">
        <f aca="false">100*(AG118-$O118)/$O118</f>
        <v>0.00899777916361021</v>
      </c>
      <c r="AL118" s="2" t="s">
        <v>446</v>
      </c>
      <c r="AM118" s="2" t="n">
        <v>49829</v>
      </c>
      <c r="AN118" s="2" t="n">
        <v>85.0214</v>
      </c>
      <c r="AO118" s="2" t="n">
        <f aca="false">100*(AM118-$O118)/$O118</f>
        <v>0.00899777916361021</v>
      </c>
    </row>
    <row r="119" customFormat="false" ht="13.8" hidden="false" customHeight="false" outlineLevel="0" collapsed="false">
      <c r="A119" s="3" t="s">
        <v>237</v>
      </c>
      <c r="B119" s="2" t="n">
        <v>50162</v>
      </c>
      <c r="C119" s="2" t="n">
        <f aca="false">100*(B119-$O119)/$O119</f>
        <v>0.0080053056836614</v>
      </c>
      <c r="E119" s="3" t="s">
        <v>447</v>
      </c>
      <c r="F119" s="2" t="n">
        <v>50163</v>
      </c>
      <c r="G119" s="2" t="n">
        <v>114.7142</v>
      </c>
      <c r="H119" s="2" t="n">
        <f aca="false">100*(F119-$U119)/$U119</f>
        <v>0.00199354092739524</v>
      </c>
      <c r="I119" s="6"/>
      <c r="J119" s="6" t="n">
        <f aca="false">100*(F119-U119)/U119</f>
        <v>0.00199354092739524</v>
      </c>
      <c r="K119" s="6"/>
      <c r="M119" s="2" t="s">
        <v>447</v>
      </c>
      <c r="N119" s="2" t="n">
        <v>50163</v>
      </c>
      <c r="O119" s="2" t="n">
        <v>50157.9847</v>
      </c>
      <c r="P119" s="2" t="n">
        <v>84.671</v>
      </c>
      <c r="Q119" s="2" t="n">
        <f aca="false">100*(N119-O119)/O119</f>
        <v>0.00999900620010181</v>
      </c>
      <c r="S119" s="2" t="s">
        <v>447</v>
      </c>
      <c r="T119" s="2" t="n">
        <v>50162</v>
      </c>
      <c r="U119" s="2" t="n">
        <v>50162</v>
      </c>
      <c r="V119" s="2" t="n">
        <v>278.6032</v>
      </c>
      <c r="W119" s="2" t="n">
        <f aca="false">100*(T119-U119)/U119</f>
        <v>0</v>
      </c>
      <c r="Y119" s="2" t="s">
        <v>447</v>
      </c>
      <c r="Z119" s="2" t="n">
        <v>50162</v>
      </c>
      <c r="AA119" s="2" t="n">
        <v>133.7624</v>
      </c>
      <c r="AB119" s="2" t="n">
        <f aca="false">100*(Z119-O119)/O119</f>
        <v>0.0080053056836614</v>
      </c>
      <c r="AD119" s="2" t="n">
        <f aca="false">100*(Z119-U119)/U119</f>
        <v>0</v>
      </c>
      <c r="AF119" s="2" t="s">
        <v>447</v>
      </c>
      <c r="AG119" s="2" t="n">
        <v>50163</v>
      </c>
      <c r="AH119" s="2" t="n">
        <v>176.993</v>
      </c>
      <c r="AI119" s="2" t="n">
        <f aca="false">100*(AG119-$O119)/$O119</f>
        <v>0.00999900620010181</v>
      </c>
      <c r="AL119" s="2" t="s">
        <v>447</v>
      </c>
      <c r="AM119" s="2" t="n">
        <v>50172</v>
      </c>
      <c r="AN119" s="2" t="n">
        <v>112.7392</v>
      </c>
      <c r="AO119" s="2" t="n">
        <f aca="false">100*(AM119-$O119)/$O119</f>
        <v>0.0279423108480655</v>
      </c>
    </row>
    <row r="120" customFormat="false" ht="13.8" hidden="false" customHeight="false" outlineLevel="0" collapsed="false">
      <c r="A120" s="3" t="s">
        <v>239</v>
      </c>
      <c r="B120" s="2" t="n">
        <v>48807</v>
      </c>
      <c r="C120" s="2" t="n">
        <f aca="false">100*(B120-$O120)/$O120</f>
        <v>0.00997968742335914</v>
      </c>
      <c r="E120" s="3" t="s">
        <v>448</v>
      </c>
      <c r="F120" s="2" t="n">
        <v>48807</v>
      </c>
      <c r="G120" s="2" t="n">
        <v>59.8856</v>
      </c>
      <c r="H120" s="2" t="n">
        <f aca="false">100*(F120-$U120)/$U120</f>
        <v>0</v>
      </c>
      <c r="I120" s="6"/>
      <c r="J120" s="6" t="n">
        <f aca="false">100*(F120-U120)/U120</f>
        <v>0</v>
      </c>
      <c r="K120" s="6"/>
      <c r="M120" s="2" t="s">
        <v>448</v>
      </c>
      <c r="N120" s="2" t="n">
        <v>48807</v>
      </c>
      <c r="O120" s="2" t="n">
        <v>48802.1297</v>
      </c>
      <c r="P120" s="2" t="n">
        <v>29.149</v>
      </c>
      <c r="Q120" s="2" t="n">
        <f aca="false">100*(N120-O120)/O120</f>
        <v>0.00997968742335914</v>
      </c>
      <c r="S120" s="2" t="s">
        <v>448</v>
      </c>
      <c r="T120" s="2" t="n">
        <v>48807</v>
      </c>
      <c r="U120" s="2" t="n">
        <v>48807</v>
      </c>
      <c r="V120" s="2" t="n">
        <v>77.2887</v>
      </c>
      <c r="W120" s="2" t="n">
        <f aca="false">100*(T120-U120)/U120</f>
        <v>0</v>
      </c>
      <c r="Y120" s="2" t="s">
        <v>448</v>
      </c>
      <c r="Z120" s="2" t="n">
        <v>48807</v>
      </c>
      <c r="AA120" s="2" t="n">
        <v>48.8441</v>
      </c>
      <c r="AB120" s="2" t="n">
        <f aca="false">100*(Z120-O120)/O120</f>
        <v>0.00997968742335914</v>
      </c>
      <c r="AD120" s="2" t="n">
        <f aca="false">100*(Z120-U120)/U120</f>
        <v>0</v>
      </c>
      <c r="AF120" s="2" t="s">
        <v>448</v>
      </c>
      <c r="AG120" s="2" t="n">
        <v>48807</v>
      </c>
      <c r="AH120" s="2" t="n">
        <v>51.4878</v>
      </c>
      <c r="AI120" s="2" t="n">
        <f aca="false">100*(AG120-$O120)/$O120</f>
        <v>0.00997968742335914</v>
      </c>
      <c r="AL120" s="2" t="s">
        <v>448</v>
      </c>
      <c r="AM120" s="2" t="n">
        <v>48807</v>
      </c>
      <c r="AN120" s="2" t="n">
        <v>39.8903</v>
      </c>
      <c r="AO120" s="2" t="n">
        <f aca="false">100*(AM120-$O120)/$O120</f>
        <v>0.00997968742335914</v>
      </c>
    </row>
    <row r="121" customFormat="false" ht="13.8" hidden="false" customHeight="false" outlineLevel="0" collapsed="false">
      <c r="A121" s="3" t="s">
        <v>241</v>
      </c>
      <c r="B121" s="2" t="n">
        <v>49416</v>
      </c>
      <c r="C121" s="2" t="n">
        <f aca="false">100*(B121-$O121)/$O121</f>
        <v>0.00789948263822232</v>
      </c>
      <c r="E121" s="3" t="s">
        <v>449</v>
      </c>
      <c r="F121" s="2" t="n">
        <v>49417</v>
      </c>
      <c r="G121" s="2" t="n">
        <v>181.796</v>
      </c>
      <c r="H121" s="2" t="n">
        <f aca="false">100*(F121-$U121)/$U121</f>
        <v>0.0020236360692893</v>
      </c>
      <c r="I121" s="6" t="n">
        <f aca="false">AVERAGE(H112:H121)</f>
        <v>0.00444412846441148</v>
      </c>
      <c r="J121" s="6" t="n">
        <f aca="false">100*(F121-U121)/U121</f>
        <v>0.0020236360692893</v>
      </c>
      <c r="K121" s="6" t="n">
        <f aca="false">AVERAGE(J112:J121)</f>
        <v>0.00444412846441148</v>
      </c>
      <c r="M121" s="2" t="s">
        <v>449</v>
      </c>
      <c r="N121" s="2" t="n">
        <v>49417</v>
      </c>
      <c r="O121" s="2" t="n">
        <v>49412.0967</v>
      </c>
      <c r="P121" s="2" t="n">
        <v>87.8493</v>
      </c>
      <c r="Q121" s="2" t="n">
        <f aca="false">100*(N121-O121)/O121</f>
        <v>0.00992327856429158</v>
      </c>
      <c r="R121" s="7" t="n">
        <f aca="false">AVERAGE(Q112:Q121)</f>
        <v>0.0097707673052793</v>
      </c>
      <c r="S121" s="2" t="s">
        <v>449</v>
      </c>
      <c r="T121" s="2" t="n">
        <v>49416</v>
      </c>
      <c r="U121" s="2" t="n">
        <v>49416</v>
      </c>
      <c r="V121" s="2" t="n">
        <v>163.3031</v>
      </c>
      <c r="W121" s="2" t="n">
        <f aca="false">100*(T121-U121)/U121</f>
        <v>0</v>
      </c>
      <c r="X121" s="7" t="n">
        <f aca="false">AVERAGE(W112:W121)</f>
        <v>0</v>
      </c>
      <c r="Y121" s="2" t="s">
        <v>449</v>
      </c>
      <c r="Z121" s="2" t="n">
        <v>49440</v>
      </c>
      <c r="AA121" s="2" t="n">
        <v>183.4779</v>
      </c>
      <c r="AB121" s="2" t="n">
        <f aca="false">100*(Z121-O121)/O121</f>
        <v>0.0564705848638844</v>
      </c>
      <c r="AC121" s="6" t="n">
        <f aca="false">AVERAGE(AB112:AB121)</f>
        <v>0.0174261249733448</v>
      </c>
      <c r="AD121" s="2" t="n">
        <f aca="false">100*(Z121-U121)/U121</f>
        <v>0.0485672656629432</v>
      </c>
      <c r="AE121" s="6" t="n">
        <f aca="false">AVERAGE(AD112:AD121)</f>
        <v>0.00850229618654748</v>
      </c>
      <c r="AF121" s="2" t="s">
        <v>449</v>
      </c>
      <c r="AG121" s="2" t="n">
        <v>49416</v>
      </c>
      <c r="AH121" s="2" t="n">
        <v>218.0044</v>
      </c>
      <c r="AI121" s="2" t="n">
        <f aca="false">100*(AG121-$O121)/$O121</f>
        <v>0.00789948263822232</v>
      </c>
      <c r="AJ121" s="6" t="n">
        <f aca="false">AVERAGE(AI112:AI121)</f>
        <v>0.00912245250882339</v>
      </c>
      <c r="AL121" s="2" t="s">
        <v>449</v>
      </c>
      <c r="AM121" s="2" t="n">
        <v>49416</v>
      </c>
      <c r="AN121" s="2" t="n">
        <v>189.0738</v>
      </c>
      <c r="AO121" s="2" t="n">
        <f aca="false">100*(AM121-$O121)/$O121</f>
        <v>0.00789948263822232</v>
      </c>
      <c r="AP121" s="6" t="n">
        <f aca="false">AVERAGE(AO112:AO121)</f>
        <v>0.0145627152672189</v>
      </c>
    </row>
    <row r="122" customFormat="false" ht="13.8" hidden="false" customHeight="false" outlineLevel="0" collapsed="false">
      <c r="A122" s="3" t="s">
        <v>243</v>
      </c>
      <c r="B122" s="2" t="n">
        <v>112065</v>
      </c>
      <c r="C122" s="2" t="n">
        <f aca="false">100*(B122-$O122)/$O122</f>
        <v>0.929517217873145</v>
      </c>
      <c r="E122" s="3" t="s">
        <v>450</v>
      </c>
      <c r="F122" s="2" t="n">
        <v>111772</v>
      </c>
      <c r="G122" s="2" t="n">
        <v>1829.8336</v>
      </c>
      <c r="H122" s="2" t="n">
        <f aca="false">100*(F122-$U122)/$U122</f>
        <v>0.810974921371415</v>
      </c>
      <c r="I122" s="6"/>
      <c r="J122" s="6" t="n">
        <f aca="false">100*(F122-U122)/U122</f>
        <v>0.810974921371415</v>
      </c>
      <c r="K122" s="6"/>
      <c r="M122" s="2" t="s">
        <v>450</v>
      </c>
      <c r="N122" s="2" t="n">
        <v>112305</v>
      </c>
      <c r="O122" s="2" t="n">
        <v>111032.9298</v>
      </c>
      <c r="P122" s="2" t="n">
        <v>3600.6138</v>
      </c>
      <c r="Q122" s="2" t="n">
        <f aca="false">100*(N122-O122)/O122</f>
        <v>1.14566930935835</v>
      </c>
      <c r="S122" s="2" t="s">
        <v>450</v>
      </c>
      <c r="T122" s="2" t="n">
        <v>112386</v>
      </c>
      <c r="U122" s="2" t="n">
        <v>110872.849</v>
      </c>
      <c r="V122" s="2" t="n">
        <v>3600.9934</v>
      </c>
      <c r="W122" s="2" t="n">
        <f aca="false">100*(T122-U122)/U122</f>
        <v>1.36476244062241</v>
      </c>
      <c r="Y122" s="2" t="s">
        <v>450</v>
      </c>
      <c r="Z122" s="2" t="n">
        <v>111875</v>
      </c>
      <c r="AA122" s="2" t="n">
        <v>750.0939</v>
      </c>
      <c r="AB122" s="2" t="n">
        <f aca="false">100*(Z122-O122)/O122</f>
        <v>0.758396812114024</v>
      </c>
      <c r="AD122" s="2" t="n">
        <f aca="false">100*(Z122-U122)/U122</f>
        <v>0.903874130626875</v>
      </c>
      <c r="AF122" s="2" t="s">
        <v>450</v>
      </c>
      <c r="AG122" s="2" t="n">
        <v>111872</v>
      </c>
      <c r="AH122" s="2" t="n">
        <v>1126.6072</v>
      </c>
      <c r="AI122" s="2" t="n">
        <f aca="false">100*(AG122-$O122)/$O122</f>
        <v>0.755694910970459</v>
      </c>
      <c r="AL122" s="2" t="s">
        <v>450</v>
      </c>
      <c r="AM122" s="2" t="n">
        <v>111779</v>
      </c>
      <c r="AN122" s="2" t="n">
        <v>1402.122</v>
      </c>
      <c r="AO122" s="2" t="n">
        <f aca="false">100*(AM122-$O122)/$O122</f>
        <v>0.671935975519942</v>
      </c>
    </row>
    <row r="123" customFormat="false" ht="13.8" hidden="false" customHeight="false" outlineLevel="0" collapsed="false">
      <c r="A123" s="3" t="s">
        <v>245</v>
      </c>
      <c r="B123" s="2" t="n">
        <v>114603</v>
      </c>
      <c r="C123" s="2" t="n">
        <f aca="false">100*(B123-$O123)/$O123</f>
        <v>0.544259641787463</v>
      </c>
      <c r="E123" s="3" t="s">
        <v>451</v>
      </c>
      <c r="F123" s="2" t="n">
        <v>114628</v>
      </c>
      <c r="G123" s="2" t="n">
        <v>742.1139</v>
      </c>
      <c r="H123" s="2" t="n">
        <f aca="false">100*(F123-$U123)/$U123</f>
        <v>0.548715131005257</v>
      </c>
      <c r="I123" s="6"/>
      <c r="J123" s="6" t="n">
        <f aca="false">100*(F123-U123)/U123</f>
        <v>0.548715131005257</v>
      </c>
      <c r="K123" s="6"/>
      <c r="M123" s="2" t="s">
        <v>451</v>
      </c>
      <c r="N123" s="2" t="n">
        <v>114609</v>
      </c>
      <c r="O123" s="2" t="n">
        <v>113982.6385</v>
      </c>
      <c r="P123" s="2" t="n">
        <v>3600.8893</v>
      </c>
      <c r="Q123" s="2" t="n">
        <f aca="false">100*(N123-O123)/O123</f>
        <v>0.549523601350919</v>
      </c>
      <c r="S123" s="2" t="s">
        <v>451</v>
      </c>
      <c r="T123" s="2" t="n">
        <v>114565</v>
      </c>
      <c r="U123" s="2" t="n">
        <v>114002.4513</v>
      </c>
      <c r="V123" s="2" t="n">
        <v>3600.9602</v>
      </c>
      <c r="W123" s="2" t="n">
        <f aca="false">100*(T123-U123)/U123</f>
        <v>0.493453161388293</v>
      </c>
      <c r="Y123" s="2" t="s">
        <v>451</v>
      </c>
      <c r="Z123" s="2" t="n">
        <v>114614</v>
      </c>
      <c r="AA123" s="2" t="n">
        <v>990.2427</v>
      </c>
      <c r="AB123" s="2" t="n">
        <f aca="false">100*(Z123-O123)/O123</f>
        <v>0.553910234320465</v>
      </c>
      <c r="AD123" s="2" t="n">
        <f aca="false">100*(Z123-U123)/U123</f>
        <v>0.536434693312598</v>
      </c>
      <c r="AF123" s="2" t="s">
        <v>451</v>
      </c>
      <c r="AG123" s="2" t="n">
        <v>114589</v>
      </c>
      <c r="AH123" s="2" t="n">
        <v>1145.5059</v>
      </c>
      <c r="AI123" s="2" t="n">
        <f aca="false">100*(AG123-$O123)/$O123</f>
        <v>0.531977069472733</v>
      </c>
      <c r="AL123" s="2" t="s">
        <v>451</v>
      </c>
      <c r="AM123" s="2" t="n">
        <v>114582</v>
      </c>
      <c r="AN123" s="2" t="n">
        <v>1223.3647</v>
      </c>
      <c r="AO123" s="2" t="n">
        <f aca="false">100*(AM123-$O123)/$O123</f>
        <v>0.525835783315368</v>
      </c>
    </row>
    <row r="124" customFormat="false" ht="13.8" hidden="false" customHeight="false" outlineLevel="0" collapsed="false">
      <c r="A124" s="3" t="s">
        <v>247</v>
      </c>
      <c r="B124" s="2" t="n">
        <v>123287</v>
      </c>
      <c r="C124" s="2" t="n">
        <f aca="false">100*(B124-$O124)/$O124</f>
        <v>0.546211645067366</v>
      </c>
      <c r="E124" s="3" t="s">
        <v>452</v>
      </c>
      <c r="F124" s="2" t="n">
        <v>123091</v>
      </c>
      <c r="G124" s="2" t="n">
        <v>738.6353</v>
      </c>
      <c r="H124" s="2" t="n">
        <f aca="false">100*(F124-$U124)/$U124</f>
        <v>0.434034363888627</v>
      </c>
      <c r="I124" s="6"/>
      <c r="J124" s="6" t="n">
        <f aca="false">100*(F124-U124)/U124</f>
        <v>0.434034363888627</v>
      </c>
      <c r="K124" s="6"/>
      <c r="M124" s="2" t="s">
        <v>452</v>
      </c>
      <c r="N124" s="2" t="n">
        <v>123285</v>
      </c>
      <c r="O124" s="2" t="n">
        <v>122617.2503</v>
      </c>
      <c r="P124" s="2" t="n">
        <v>3600.65</v>
      </c>
      <c r="Q124" s="2" t="n">
        <f aca="false">100*(N124-O124)/O124</f>
        <v>0.544580553198069</v>
      </c>
      <c r="S124" s="2" t="s">
        <v>452</v>
      </c>
      <c r="T124" s="2" t="n">
        <v>123414</v>
      </c>
      <c r="U124" s="2" t="n">
        <v>122559.0516</v>
      </c>
      <c r="V124" s="2" t="n">
        <v>3601.7803</v>
      </c>
      <c r="W124" s="2" t="n">
        <f aca="false">100*(T124-U124)/U124</f>
        <v>0.697580789699905</v>
      </c>
      <c r="Y124" s="2" t="s">
        <v>452</v>
      </c>
      <c r="Z124" s="2" t="n">
        <v>123122</v>
      </c>
      <c r="AA124" s="2" t="n">
        <v>876.1284</v>
      </c>
      <c r="AB124" s="2" t="n">
        <f aca="false">100*(Z124-O124)/O124</f>
        <v>0.411646565850287</v>
      </c>
      <c r="AD124" s="2" t="n">
        <f aca="false">100*(Z124-U124)/U124</f>
        <v>0.459328293300855</v>
      </c>
      <c r="AF124" s="2" t="s">
        <v>452</v>
      </c>
      <c r="AG124" s="2" t="n">
        <v>123051</v>
      </c>
      <c r="AH124" s="2" t="n">
        <v>1050.2283</v>
      </c>
      <c r="AI124" s="2" t="n">
        <f aca="false">100*(AG124-$O124)/$O124</f>
        <v>0.35374280449021</v>
      </c>
      <c r="AL124" s="2" t="s">
        <v>452</v>
      </c>
      <c r="AM124" s="2" t="n">
        <v>123090</v>
      </c>
      <c r="AN124" s="2" t="n">
        <v>977.5814</v>
      </c>
      <c r="AO124" s="2" t="n">
        <f aca="false">100*(AM124-$O124)/$O124</f>
        <v>0.38554909594152</v>
      </c>
    </row>
    <row r="125" customFormat="false" ht="13.8" hidden="false" customHeight="false" outlineLevel="0" collapsed="false">
      <c r="A125" s="3" t="s">
        <v>249</v>
      </c>
      <c r="B125" s="2" t="n">
        <v>121401</v>
      </c>
      <c r="C125" s="2" t="n">
        <f aca="false">100*(B125-$O125)/$O125</f>
        <v>0.762516302103744</v>
      </c>
      <c r="E125" s="3" t="s">
        <v>453</v>
      </c>
      <c r="F125" s="2" t="n">
        <v>121215</v>
      </c>
      <c r="G125" s="2" t="n">
        <v>870.178</v>
      </c>
      <c r="H125" s="2" t="n">
        <f aca="false">100*(F125-$U125)/$U125</f>
        <v>0.595257863443303</v>
      </c>
      <c r="I125" s="6"/>
      <c r="J125" s="6" t="n">
        <f aca="false">100*(F125-U125)/U125</f>
        <v>0.595257863443303</v>
      </c>
      <c r="K125" s="6"/>
      <c r="M125" s="2" t="s">
        <v>453</v>
      </c>
      <c r="N125" s="2" t="n">
        <v>121376</v>
      </c>
      <c r="O125" s="2" t="n">
        <v>120482.3028</v>
      </c>
      <c r="P125" s="2" t="n">
        <v>3600.5778</v>
      </c>
      <c r="Q125" s="2" t="n">
        <f aca="false">100*(N125-O125)/O125</f>
        <v>0.741766366703272</v>
      </c>
      <c r="S125" s="2" t="s">
        <v>453</v>
      </c>
      <c r="T125" s="2" t="n">
        <v>121417</v>
      </c>
      <c r="U125" s="2" t="n">
        <v>120497.7278</v>
      </c>
      <c r="V125" s="2" t="n">
        <v>3602.0567</v>
      </c>
      <c r="W125" s="2" t="n">
        <f aca="false">100*(T125-U125)/U125</f>
        <v>0.762895879269855</v>
      </c>
      <c r="Y125" s="2" t="s">
        <v>453</v>
      </c>
      <c r="Z125" s="2" t="n">
        <v>121264</v>
      </c>
      <c r="AA125" s="2" t="n">
        <v>964.459</v>
      </c>
      <c r="AB125" s="2" t="n">
        <f aca="false">100*(Z125-O125)/O125</f>
        <v>0.648806656109162</v>
      </c>
      <c r="AD125" s="2" t="n">
        <f aca="false">100*(Z125-U125)/U125</f>
        <v>0.635922530648754</v>
      </c>
      <c r="AF125" s="2" t="s">
        <v>453</v>
      </c>
      <c r="AG125" s="2" t="n">
        <v>121192</v>
      </c>
      <c r="AH125" s="2" t="n">
        <v>1108.8763</v>
      </c>
      <c r="AI125" s="2" t="n">
        <f aca="false">100*(AG125-$O125)/$O125</f>
        <v>0.589046842155805</v>
      </c>
      <c r="AL125" s="2" t="s">
        <v>453</v>
      </c>
      <c r="AM125" s="2" t="n">
        <v>121255</v>
      </c>
      <c r="AN125" s="2" t="n">
        <v>1166.0704</v>
      </c>
      <c r="AO125" s="2" t="n">
        <f aca="false">100*(AM125-$O125)/$O125</f>
        <v>0.641336679364992</v>
      </c>
    </row>
    <row r="126" customFormat="false" ht="13.8" hidden="false" customHeight="false" outlineLevel="0" collapsed="false">
      <c r="A126" s="3" t="s">
        <v>251</v>
      </c>
      <c r="B126" s="2" t="n">
        <v>110011</v>
      </c>
      <c r="C126" s="2" t="n">
        <f aca="false">100*(B126-$O126)/$O126</f>
        <v>0.167391474181877</v>
      </c>
      <c r="E126" s="3" t="s">
        <v>454</v>
      </c>
      <c r="F126" s="2" t="n">
        <v>109975</v>
      </c>
      <c r="G126" s="2" t="n">
        <v>639.9227</v>
      </c>
      <c r="H126" s="2" t="n">
        <f aca="false">100*(F126-$U126)/$U126</f>
        <v>0.124729146561299</v>
      </c>
      <c r="I126" s="6"/>
      <c r="J126" s="6" t="n">
        <f aca="false">100*(F126-U126)/U126</f>
        <v>0.124729146561299</v>
      </c>
      <c r="K126" s="6"/>
      <c r="M126" s="2" t="s">
        <v>454</v>
      </c>
      <c r="N126" s="2" t="n">
        <v>109838</v>
      </c>
      <c r="O126" s="2" t="n">
        <v>109827.1587</v>
      </c>
      <c r="P126" s="2" t="n">
        <v>3008.3192</v>
      </c>
      <c r="Q126" s="2" t="n">
        <f aca="false">100*(N126-O126)/O126</f>
        <v>0.00987123779612087</v>
      </c>
      <c r="S126" s="2" t="s">
        <v>454</v>
      </c>
      <c r="T126" s="2" t="n">
        <v>109838</v>
      </c>
      <c r="U126" s="2" t="n">
        <v>109838</v>
      </c>
      <c r="V126" s="2" t="n">
        <v>2341.3693</v>
      </c>
      <c r="W126" s="2" t="n">
        <f aca="false">100*(T126-U126)/U126</f>
        <v>0</v>
      </c>
      <c r="Y126" s="2" t="s">
        <v>454</v>
      </c>
      <c r="Z126" s="2" t="n">
        <v>109949</v>
      </c>
      <c r="AA126" s="2" t="n">
        <v>817.3148</v>
      </c>
      <c r="AB126" s="2" t="n">
        <f aca="false">100*(Z126-O126)/O126</f>
        <v>0.110939135130335</v>
      </c>
      <c r="AD126" s="2" t="n">
        <f aca="false">100*(Z126-U126)/U126</f>
        <v>0.101057921666454</v>
      </c>
      <c r="AF126" s="2" t="s">
        <v>454</v>
      </c>
      <c r="AG126" s="2" t="n">
        <v>109936</v>
      </c>
      <c r="AH126" s="2" t="n">
        <v>985.826</v>
      </c>
      <c r="AI126" s="2" t="n">
        <f aca="false">100*(AG126-$O126)/$O126</f>
        <v>0.0991023543614627</v>
      </c>
      <c r="AL126" s="2" t="s">
        <v>454</v>
      </c>
      <c r="AM126" s="2" t="n">
        <v>110045</v>
      </c>
      <c r="AN126" s="2" t="n">
        <v>967.5852</v>
      </c>
      <c r="AO126" s="2" t="n">
        <f aca="false">100*(AM126-$O126)/$O126</f>
        <v>0.198349208500465</v>
      </c>
    </row>
    <row r="127" customFormat="false" ht="13.8" hidden="false" customHeight="false" outlineLevel="0" collapsed="false">
      <c r="A127" s="3" t="s">
        <v>253</v>
      </c>
      <c r="B127" s="2" t="n">
        <v>124104</v>
      </c>
      <c r="C127" s="2" t="n">
        <f aca="false">100*(B127-$O127)/$O127</f>
        <v>0.609518867760208</v>
      </c>
      <c r="E127" s="3" t="s">
        <v>455</v>
      </c>
      <c r="F127" s="2" t="n">
        <v>124031</v>
      </c>
      <c r="G127" s="2" t="n">
        <v>868.6454</v>
      </c>
      <c r="H127" s="2" t="n">
        <f aca="false">100*(F127-$U127)/$U127</f>
        <v>0.514038652930419</v>
      </c>
      <c r="I127" s="6"/>
      <c r="J127" s="6" t="n">
        <f aca="false">100*(F127-U127)/U127</f>
        <v>0.514038652930419</v>
      </c>
      <c r="K127" s="6"/>
      <c r="M127" s="2" t="s">
        <v>455</v>
      </c>
      <c r="N127" s="2" t="n">
        <v>124057</v>
      </c>
      <c r="O127" s="2" t="n">
        <v>123352.1454</v>
      </c>
      <c r="P127" s="2" t="n">
        <v>3600.4734</v>
      </c>
      <c r="Q127" s="2" t="n">
        <f aca="false">100*(N127-O127)/O127</f>
        <v>0.571416571405661</v>
      </c>
      <c r="S127" s="2" t="s">
        <v>455</v>
      </c>
      <c r="T127" s="2" t="n">
        <v>124035</v>
      </c>
      <c r="U127" s="2" t="n">
        <v>123396.6933</v>
      </c>
      <c r="V127" s="2" t="n">
        <v>3612.5398</v>
      </c>
      <c r="W127" s="2" t="n">
        <f aca="false">100*(T127-U127)/U127</f>
        <v>0.517280230879575</v>
      </c>
      <c r="Y127" s="2" t="s">
        <v>455</v>
      </c>
      <c r="Z127" s="2" t="n">
        <v>124103</v>
      </c>
      <c r="AA127" s="2" t="n">
        <v>917.5015</v>
      </c>
      <c r="AB127" s="2" t="n">
        <f aca="false">100*(Z127-O127)/O127</f>
        <v>0.608708180603729</v>
      </c>
      <c r="AD127" s="2" t="n">
        <f aca="false">100*(Z127-U127)/U127</f>
        <v>0.572387056015221</v>
      </c>
      <c r="AF127" s="2" t="s">
        <v>455</v>
      </c>
      <c r="AG127" s="2" t="n">
        <v>124029</v>
      </c>
      <c r="AH127" s="2" t="n">
        <v>1197.6092</v>
      </c>
      <c r="AI127" s="2" t="n">
        <f aca="false">100*(AG127-$O127)/$O127</f>
        <v>0.548717331024229</v>
      </c>
      <c r="AL127" s="2" t="s">
        <v>455</v>
      </c>
      <c r="AM127" s="2" t="n">
        <v>124060</v>
      </c>
      <c r="AN127" s="2" t="n">
        <v>1666.0314</v>
      </c>
      <c r="AO127" s="2" t="n">
        <f aca="false">100*(AM127-$O127)/$O127</f>
        <v>0.5738486328751</v>
      </c>
    </row>
    <row r="128" customFormat="false" ht="13.8" hidden="false" customHeight="false" outlineLevel="0" collapsed="false">
      <c r="A128" s="3" t="s">
        <v>255</v>
      </c>
      <c r="B128" s="2" t="n">
        <v>123780</v>
      </c>
      <c r="C128" s="2" t="n">
        <f aca="false">100*(B128-$O128)/$O128</f>
        <v>0.561265259402235</v>
      </c>
      <c r="E128" s="3" t="s">
        <v>456</v>
      </c>
      <c r="F128" s="2" t="n">
        <v>123619</v>
      </c>
      <c r="G128" s="2" t="n">
        <v>870.5837</v>
      </c>
      <c r="H128" s="2" t="n">
        <f aca="false">100*(F128-$U128)/$U128</f>
        <v>0.411155655269083</v>
      </c>
      <c r="I128" s="6"/>
      <c r="J128" s="6" t="n">
        <f aca="false">100*(F128-U128)/U128</f>
        <v>0.411155655269083</v>
      </c>
      <c r="K128" s="6"/>
      <c r="M128" s="2" t="s">
        <v>456</v>
      </c>
      <c r="N128" s="2" t="n">
        <v>123586</v>
      </c>
      <c r="O128" s="2" t="n">
        <v>123089.1434</v>
      </c>
      <c r="P128" s="2" t="n">
        <v>3600.5709</v>
      </c>
      <c r="Q128" s="2" t="n">
        <f aca="false">100*(N128-O128)/O128</f>
        <v>0.403655908454392</v>
      </c>
      <c r="S128" s="2" t="s">
        <v>456</v>
      </c>
      <c r="T128" s="2" t="n">
        <v>123620</v>
      </c>
      <c r="U128" s="2" t="n">
        <v>123112.8147</v>
      </c>
      <c r="V128" s="2" t="n">
        <v>3612.3312</v>
      </c>
      <c r="W128" s="2" t="n">
        <f aca="false">100*(T128-U128)/U128</f>
        <v>0.411967918397367</v>
      </c>
      <c r="Y128" s="2" t="s">
        <v>456</v>
      </c>
      <c r="Z128" s="2" t="n">
        <v>123624</v>
      </c>
      <c r="AA128" s="2" t="n">
        <v>934.3712</v>
      </c>
      <c r="AB128" s="2" t="n">
        <f aca="false">100*(Z128-O128)/O128</f>
        <v>0.434527843176134</v>
      </c>
      <c r="AD128" s="2" t="n">
        <f aca="false">100*(Z128-U128)/U128</f>
        <v>0.415216970910501</v>
      </c>
      <c r="AF128" s="2" t="s">
        <v>456</v>
      </c>
      <c r="AG128" s="2" t="n">
        <v>123541</v>
      </c>
      <c r="AH128" s="2" t="n">
        <v>1139.0924</v>
      </c>
      <c r="AI128" s="2" t="n">
        <f aca="false">100*(AG128-$O128)/$O128</f>
        <v>0.367097038389171</v>
      </c>
      <c r="AL128" s="2" t="s">
        <v>456</v>
      </c>
      <c r="AM128" s="2" t="n">
        <v>123597</v>
      </c>
      <c r="AN128" s="2" t="n">
        <v>1536.5181</v>
      </c>
      <c r="AO128" s="2" t="n">
        <f aca="false">100*(AM128-$O128)/$O128</f>
        <v>0.412592521137002</v>
      </c>
    </row>
    <row r="129" customFormat="false" ht="13.8" hidden="false" customHeight="false" outlineLevel="0" collapsed="false">
      <c r="A129" s="3" t="s">
        <v>257</v>
      </c>
      <c r="B129" s="2" t="n">
        <v>119877</v>
      </c>
      <c r="C129" s="2" t="n">
        <f aca="false">100*(B129-$O129)/$O129</f>
        <v>0.538477786860046</v>
      </c>
      <c r="E129" s="3" t="s">
        <v>457</v>
      </c>
      <c r="F129" s="2" t="n">
        <v>119757</v>
      </c>
      <c r="G129" s="2" t="n">
        <v>876.9244</v>
      </c>
      <c r="H129" s="2" t="n">
        <f aca="false">100*(F129-$U129)/$U129</f>
        <v>0.412016352120806</v>
      </c>
      <c r="I129" s="6"/>
      <c r="J129" s="6" t="n">
        <f aca="false">100*(F129-U129)/U129</f>
        <v>0.412016352120806</v>
      </c>
      <c r="K129" s="6"/>
      <c r="M129" s="2" t="s">
        <v>457</v>
      </c>
      <c r="N129" s="2" t="n">
        <v>119836</v>
      </c>
      <c r="O129" s="2" t="n">
        <v>119234.9463</v>
      </c>
      <c r="P129" s="2" t="n">
        <v>3600.6141</v>
      </c>
      <c r="Q129" s="2" t="n">
        <f aca="false">100*(N129-O129)/O129</f>
        <v>0.504091894743449</v>
      </c>
      <c r="S129" s="2" t="s">
        <v>457</v>
      </c>
      <c r="T129" s="2" t="n">
        <v>119737</v>
      </c>
      <c r="U129" s="2" t="n">
        <v>119265.6062</v>
      </c>
      <c r="V129" s="2" t="n">
        <v>3615.2617</v>
      </c>
      <c r="W129" s="2" t="n">
        <f aca="false">100*(T129-U129)/U129</f>
        <v>0.395247058242014</v>
      </c>
      <c r="Y129" s="2" t="s">
        <v>457</v>
      </c>
      <c r="Z129" s="2" t="n">
        <v>119696</v>
      </c>
      <c r="AA129" s="2" t="n">
        <v>897.2327</v>
      </c>
      <c r="AB129" s="2" t="n">
        <f aca="false">100*(Z129-O129)/O129</f>
        <v>0.386676653369704</v>
      </c>
      <c r="AD129" s="2" t="n">
        <f aca="false">100*(Z129-U129)/U129</f>
        <v>0.360870005790492</v>
      </c>
      <c r="AF129" s="2" t="s">
        <v>457</v>
      </c>
      <c r="AG129" s="2" t="n">
        <v>119728</v>
      </c>
      <c r="AH129" s="2" t="n">
        <v>1100.9789</v>
      </c>
      <c r="AI129" s="2" t="n">
        <f aca="false">100*(AG129-$O129)/$O129</f>
        <v>0.41351442282656</v>
      </c>
      <c r="AL129" s="2" t="s">
        <v>457</v>
      </c>
      <c r="AM129" s="2" t="n">
        <v>119669</v>
      </c>
      <c r="AN129" s="2" t="n">
        <v>989.9172</v>
      </c>
      <c r="AO129" s="2" t="n">
        <f aca="false">100*(AM129-$O129)/$O129</f>
        <v>0.364032285390482</v>
      </c>
    </row>
    <row r="130" customFormat="false" ht="13.8" hidden="false" customHeight="false" outlineLevel="0" collapsed="false">
      <c r="A130" s="3" t="s">
        <v>259</v>
      </c>
      <c r="B130" s="2" t="n">
        <v>117374</v>
      </c>
      <c r="C130" s="2" t="n">
        <f aca="false">100*(B130-$O130)/$O130</f>
        <v>0.730113184863806</v>
      </c>
      <c r="E130" s="3" t="s">
        <v>458</v>
      </c>
      <c r="F130" s="2" t="n">
        <v>117215</v>
      </c>
      <c r="G130" s="2" t="n">
        <v>803.5228</v>
      </c>
      <c r="H130" s="2" t="n">
        <f aca="false">100*(F130-$U130)/$U130</f>
        <v>0.542767540742561</v>
      </c>
      <c r="I130" s="6"/>
      <c r="J130" s="6" t="n">
        <f aca="false">100*(F130-U130)/U130</f>
        <v>0.542767540742561</v>
      </c>
      <c r="K130" s="6"/>
      <c r="M130" s="2" t="s">
        <v>458</v>
      </c>
      <c r="N130" s="2" t="n">
        <v>117627</v>
      </c>
      <c r="O130" s="2" t="n">
        <v>116523.2484</v>
      </c>
      <c r="P130" s="2" t="n">
        <v>3600.5094</v>
      </c>
      <c r="Q130" s="2" t="n">
        <f aca="false">100*(N130-O130)/O130</f>
        <v>0.947237238195638</v>
      </c>
      <c r="S130" s="2" t="s">
        <v>458</v>
      </c>
      <c r="T130" s="2" t="n">
        <v>117152</v>
      </c>
      <c r="U130" s="2" t="n">
        <v>116582.2295</v>
      </c>
      <c r="V130" s="2" t="n">
        <v>3607.181</v>
      </c>
      <c r="W130" s="2" t="n">
        <f aca="false">100*(T130-U130)/U130</f>
        <v>0.488728430090624</v>
      </c>
      <c r="Y130" s="2" t="s">
        <v>458</v>
      </c>
      <c r="Z130" s="2" t="n">
        <v>117268</v>
      </c>
      <c r="AA130" s="2" t="n">
        <v>847.2686</v>
      </c>
      <c r="AB130" s="2" t="n">
        <f aca="false">100*(Z130-O130)/O130</f>
        <v>0.639144213902642</v>
      </c>
      <c r="AD130" s="2" t="n">
        <f aca="false">100*(Z130-U130)/U130</f>
        <v>0.58822901478308</v>
      </c>
      <c r="AF130" s="2" t="s">
        <v>458</v>
      </c>
      <c r="AG130" s="2" t="n">
        <v>117143</v>
      </c>
      <c r="AH130" s="2" t="n">
        <v>1118.2305</v>
      </c>
      <c r="AI130" s="2" t="n">
        <f aca="false">100*(AG130-$O130)/$O130</f>
        <v>0.53186948399561</v>
      </c>
      <c r="AL130" s="2" t="s">
        <v>458</v>
      </c>
      <c r="AM130" s="2" t="n">
        <v>117268</v>
      </c>
      <c r="AN130" s="2" t="n">
        <v>1400.2034</v>
      </c>
      <c r="AO130" s="2" t="n">
        <f aca="false">100*(AM130-$O130)/$O130</f>
        <v>0.639144213902642</v>
      </c>
    </row>
    <row r="131" customFormat="false" ht="13.8" hidden="false" customHeight="false" outlineLevel="0" collapsed="false">
      <c r="A131" s="3" t="s">
        <v>261</v>
      </c>
      <c r="B131" s="2" t="n">
        <v>124660</v>
      </c>
      <c r="C131" s="2" t="n">
        <f aca="false">100*(B131-$O131)/$O131</f>
        <v>0.436823157147078</v>
      </c>
      <c r="E131" s="3" t="s">
        <v>459</v>
      </c>
      <c r="F131" s="2" t="n">
        <v>124828</v>
      </c>
      <c r="G131" s="2" t="n">
        <v>830.0883</v>
      </c>
      <c r="H131" s="2" t="n">
        <f aca="false">100*(F131-$U131)/$U131</f>
        <v>0.451709921061537</v>
      </c>
      <c r="I131" s="7" t="n">
        <f aca="false">AVERAGE(H122:H131)</f>
        <v>0.484539954839431</v>
      </c>
      <c r="J131" s="6" t="n">
        <f aca="false">100*(F131-U131)/U131</f>
        <v>0.451709921061537</v>
      </c>
      <c r="K131" s="6" t="n">
        <f aca="false">AVERAGE(J122:J131)</f>
        <v>0.484539954839431</v>
      </c>
      <c r="M131" s="2" t="s">
        <v>459</v>
      </c>
      <c r="N131" s="2" t="n">
        <v>124728</v>
      </c>
      <c r="O131" s="2" t="n">
        <v>124117.8246</v>
      </c>
      <c r="P131" s="2" t="n">
        <v>3601.4752</v>
      </c>
      <c r="Q131" s="2" t="n">
        <f aca="false">100*(N131-O131)/O131</f>
        <v>0.491609808636618</v>
      </c>
      <c r="R131" s="6" t="n">
        <f aca="false">AVERAGE(Q122:Q131)</f>
        <v>0.590942248984249</v>
      </c>
      <c r="S131" s="2" t="s">
        <v>459</v>
      </c>
      <c r="T131" s="2" t="n">
        <v>124710</v>
      </c>
      <c r="U131" s="2" t="n">
        <v>124266.6751</v>
      </c>
      <c r="V131" s="2" t="n">
        <v>3600.6186</v>
      </c>
      <c r="W131" s="2" t="n">
        <f aca="false">100*(T131-U131)/U131</f>
        <v>0.356752845960716</v>
      </c>
      <c r="X131" s="6" t="n">
        <f aca="false">AVERAGE(W122:W131)</f>
        <v>0.548866875455076</v>
      </c>
      <c r="Y131" s="2" t="s">
        <v>459</v>
      </c>
      <c r="Z131" s="2" t="n">
        <v>124585</v>
      </c>
      <c r="AA131" s="2" t="n">
        <v>886.2765</v>
      </c>
      <c r="AB131" s="2" t="n">
        <f aca="false">100*(Z131-O131)/O131</f>
        <v>0.376396703298321</v>
      </c>
      <c r="AC131" s="6" t="n">
        <f aca="false">AVERAGE(AB122:AB131)</f>
        <v>0.49291529978748</v>
      </c>
      <c r="AD131" s="2" t="n">
        <f aca="false">100*(Z131-U131)/U131</f>
        <v>0.256162724031881</v>
      </c>
      <c r="AE131" s="6" t="n">
        <f aca="false">AVERAGE(AD122:AD131)</f>
        <v>0.482948334108671</v>
      </c>
      <c r="AF131" s="2" t="s">
        <v>459</v>
      </c>
      <c r="AG131" s="2" t="n">
        <v>124607</v>
      </c>
      <c r="AH131" s="2" t="n">
        <v>1072.2708</v>
      </c>
      <c r="AI131" s="2" t="n">
        <f aca="false">100*(AG131-$O131)/$O131</f>
        <v>0.39412179642729</v>
      </c>
      <c r="AJ131" s="6" t="n">
        <f aca="false">AVERAGE(AI122:AI131)</f>
        <v>0.458488405411353</v>
      </c>
      <c r="AL131" s="2" t="s">
        <v>459</v>
      </c>
      <c r="AM131" s="2" t="n">
        <v>124703</v>
      </c>
      <c r="AN131" s="2" t="n">
        <v>1237.2551</v>
      </c>
      <c r="AO131" s="2" t="n">
        <f aca="false">100*(AM131-$O131)/$O131</f>
        <v>0.471467657353699</v>
      </c>
      <c r="AP131" s="6" t="n">
        <f aca="false">AVERAGE(AO122:AO131)</f>
        <v>0.488409205330121</v>
      </c>
    </row>
    <row r="132" customFormat="false" ht="13.8" hidden="false" customHeight="false" outlineLevel="0" collapsed="false">
      <c r="A132" s="3" t="s">
        <v>263</v>
      </c>
      <c r="B132" s="2" t="n">
        <v>70834</v>
      </c>
      <c r="C132" s="2" t="n">
        <f aca="false">100*(B132-$O132)/$O132</f>
        <v>0.00999168067771617</v>
      </c>
      <c r="E132" s="3" t="s">
        <v>460</v>
      </c>
      <c r="F132" s="2" t="n">
        <v>70834</v>
      </c>
      <c r="G132" s="2" t="n">
        <v>295.8142</v>
      </c>
      <c r="H132" s="2" t="n">
        <f aca="false">100*(F132-$U132)/$U132</f>
        <v>0</v>
      </c>
      <c r="I132" s="6"/>
      <c r="J132" s="6" t="n">
        <f aca="false">100*(F132-U132)/U132</f>
        <v>0</v>
      </c>
      <c r="K132" s="6"/>
      <c r="M132" s="2" t="s">
        <v>460</v>
      </c>
      <c r="N132" s="2" t="n">
        <v>70834</v>
      </c>
      <c r="O132" s="2" t="n">
        <v>70826.9232</v>
      </c>
      <c r="P132" s="2" t="n">
        <v>1919.7512</v>
      </c>
      <c r="Q132" s="2" t="n">
        <f aca="false">100*(N132-O132)/O132</f>
        <v>0.00999168067771617</v>
      </c>
      <c r="S132" s="2" t="s">
        <v>460</v>
      </c>
      <c r="T132" s="2" t="n">
        <v>70834</v>
      </c>
      <c r="U132" s="2" t="n">
        <v>70834</v>
      </c>
      <c r="V132" s="2" t="n">
        <v>1591.5188</v>
      </c>
      <c r="W132" s="2" t="n">
        <f aca="false">100*(T132-U132)/U132</f>
        <v>0</v>
      </c>
      <c r="Y132" s="2" t="s">
        <v>460</v>
      </c>
      <c r="Z132" s="2" t="n">
        <v>70834</v>
      </c>
      <c r="AA132" s="2" t="n">
        <v>503.5128</v>
      </c>
      <c r="AB132" s="2" t="n">
        <f aca="false">100*(Z132-O132)/O132</f>
        <v>0.00999168067771617</v>
      </c>
      <c r="AD132" s="2" t="n">
        <f aca="false">100*(Z132-U132)/U132</f>
        <v>0</v>
      </c>
      <c r="AF132" s="2" t="s">
        <v>460</v>
      </c>
      <c r="AG132" s="2" t="n">
        <v>70837</v>
      </c>
      <c r="AH132" s="2" t="n">
        <v>717.7342</v>
      </c>
      <c r="AI132" s="2" t="n">
        <f aca="false">100*(AG132-$O132)/$O132</f>
        <v>0.0142273581072279</v>
      </c>
      <c r="AL132" s="2" t="s">
        <v>460</v>
      </c>
      <c r="AM132" s="2" t="n">
        <v>70837</v>
      </c>
      <c r="AN132" s="2" t="n">
        <v>480.7381</v>
      </c>
      <c r="AO132" s="2" t="n">
        <f aca="false">100*(AM132-$O132)/$O132</f>
        <v>0.0142273581072279</v>
      </c>
    </row>
    <row r="133" customFormat="false" ht="13.8" hidden="false" customHeight="false" outlineLevel="0" collapsed="false">
      <c r="A133" s="3" t="s">
        <v>265</v>
      </c>
      <c r="B133" s="2" t="n">
        <v>72767</v>
      </c>
      <c r="C133" s="2" t="n">
        <f aca="false">100*(B133-$O133)/$O133</f>
        <v>0.0247769813938879</v>
      </c>
      <c r="E133" s="3" t="s">
        <v>461</v>
      </c>
      <c r="F133" s="2" t="n">
        <v>72780</v>
      </c>
      <c r="G133" s="2" t="n">
        <v>419.7865</v>
      </c>
      <c r="H133" s="2" t="n">
        <f aca="false">100*(F133-$U133)/$U133</f>
        <v>0.032986970146792</v>
      </c>
      <c r="I133" s="6"/>
      <c r="J133" s="6" t="n">
        <f aca="false">100*(F133-U133)/U133</f>
        <v>0.032986970146792</v>
      </c>
      <c r="K133" s="6"/>
      <c r="M133" s="2" t="s">
        <v>461</v>
      </c>
      <c r="N133" s="2" t="n">
        <v>72756</v>
      </c>
      <c r="O133" s="2" t="n">
        <v>72748.975</v>
      </c>
      <c r="P133" s="2" t="n">
        <v>2578.4855</v>
      </c>
      <c r="Q133" s="2" t="n">
        <f aca="false">100*(N133-O133)/O133</f>
        <v>0.00965649344199582</v>
      </c>
      <c r="S133" s="2" t="s">
        <v>461</v>
      </c>
      <c r="T133" s="2" t="n">
        <v>72756</v>
      </c>
      <c r="U133" s="2" t="n">
        <v>72756</v>
      </c>
      <c r="V133" s="2" t="n">
        <v>1089.9897</v>
      </c>
      <c r="W133" s="2" t="n">
        <f aca="false">100*(T133-U133)/U133</f>
        <v>0</v>
      </c>
      <c r="Y133" s="2" t="s">
        <v>461</v>
      </c>
      <c r="Z133" s="2" t="n">
        <v>72756</v>
      </c>
      <c r="AA133" s="2" t="n">
        <v>627.1902</v>
      </c>
      <c r="AB133" s="2" t="n">
        <f aca="false">100*(Z133-O133)/O133</f>
        <v>0.00965649344199582</v>
      </c>
      <c r="AD133" s="2" t="n">
        <f aca="false">100*(Z133-U133)/U133</f>
        <v>0</v>
      </c>
      <c r="AF133" s="2" t="s">
        <v>461</v>
      </c>
      <c r="AG133" s="2" t="n">
        <v>72763</v>
      </c>
      <c r="AH133" s="2" t="n">
        <v>763.3799</v>
      </c>
      <c r="AI133" s="2" t="n">
        <f aca="false">100*(AG133-$O133)/$O133</f>
        <v>0.0192786221386544</v>
      </c>
      <c r="AL133" s="2" t="s">
        <v>461</v>
      </c>
      <c r="AM133" s="2" t="n">
        <v>72767</v>
      </c>
      <c r="AN133" s="2" t="n">
        <v>584.831</v>
      </c>
      <c r="AO133" s="2" t="n">
        <f aca="false">100*(AM133-$O133)/$O133</f>
        <v>0.0247769813938879</v>
      </c>
    </row>
    <row r="134" customFormat="false" ht="13.8" hidden="false" customHeight="false" outlineLevel="0" collapsed="false">
      <c r="A134" s="3" t="s">
        <v>267</v>
      </c>
      <c r="B134" s="2" t="n">
        <v>74768</v>
      </c>
      <c r="C134" s="2" t="n">
        <f aca="false">100*(B134-$O134)/$O134</f>
        <v>0.00702769800220188</v>
      </c>
      <c r="E134" s="3" t="s">
        <v>462</v>
      </c>
      <c r="F134" s="2" t="n">
        <v>74771</v>
      </c>
      <c r="G134" s="2" t="n">
        <v>103.4035</v>
      </c>
      <c r="H134" s="2" t="n">
        <f aca="false">100*(F134-$U134)/$U134</f>
        <v>0.00401241172694201</v>
      </c>
      <c r="I134" s="6"/>
      <c r="J134" s="6" t="n">
        <f aca="false">100*(F134-U134)/U134</f>
        <v>0.00401241172694201</v>
      </c>
      <c r="K134" s="6"/>
      <c r="M134" s="2" t="s">
        <v>462</v>
      </c>
      <c r="N134" s="2" t="n">
        <v>74770</v>
      </c>
      <c r="O134" s="2" t="n">
        <v>74762.7459</v>
      </c>
      <c r="P134" s="2" t="n">
        <v>131.4639</v>
      </c>
      <c r="Q134" s="2" t="n">
        <f aca="false">100*(N134-O134)/O134</f>
        <v>0.0097028271402824</v>
      </c>
      <c r="S134" s="2" t="s">
        <v>462</v>
      </c>
      <c r="T134" s="2" t="n">
        <v>74768</v>
      </c>
      <c r="U134" s="2" t="n">
        <v>74768</v>
      </c>
      <c r="V134" s="2" t="n">
        <v>408.3978</v>
      </c>
      <c r="W134" s="2" t="n">
        <f aca="false">100*(T134-U134)/U134</f>
        <v>0</v>
      </c>
      <c r="Y134" s="2" t="s">
        <v>462</v>
      </c>
      <c r="Z134" s="2" t="n">
        <v>74768</v>
      </c>
      <c r="AA134" s="2" t="n">
        <v>85.8088</v>
      </c>
      <c r="AB134" s="2" t="n">
        <f aca="false">100*(Z134-O134)/O134</f>
        <v>0.00702769800220188</v>
      </c>
      <c r="AD134" s="2" t="n">
        <f aca="false">100*(Z134-U134)/U134</f>
        <v>0</v>
      </c>
      <c r="AF134" s="2" t="s">
        <v>462</v>
      </c>
      <c r="AG134" s="2" t="n">
        <v>74768</v>
      </c>
      <c r="AH134" s="2" t="n">
        <v>293.4552</v>
      </c>
      <c r="AI134" s="2" t="n">
        <f aca="false">100*(AG134-$O134)/$O134</f>
        <v>0.00702769800220188</v>
      </c>
      <c r="AL134" s="2" t="s">
        <v>462</v>
      </c>
      <c r="AM134" s="2" t="n">
        <v>74768</v>
      </c>
      <c r="AN134" s="2" t="n">
        <v>189.3411</v>
      </c>
      <c r="AO134" s="2" t="n">
        <f aca="false">100*(AM134-$O134)/$O134</f>
        <v>0.00702769800220188</v>
      </c>
    </row>
    <row r="135" customFormat="false" ht="13.8" hidden="false" customHeight="false" outlineLevel="0" collapsed="false">
      <c r="A135" s="3" t="s">
        <v>269</v>
      </c>
      <c r="B135" s="2" t="n">
        <v>72659</v>
      </c>
      <c r="C135" s="2" t="n">
        <f aca="false">100*(B135-$O135)/$O135</f>
        <v>0.00999549383113478</v>
      </c>
      <c r="E135" s="3" t="s">
        <v>463</v>
      </c>
      <c r="F135" s="2" t="n">
        <v>72665</v>
      </c>
      <c r="G135" s="2" t="n">
        <v>154.261</v>
      </c>
      <c r="H135" s="2" t="n">
        <f aca="false">100*(F135-$U135)/$U135</f>
        <v>0.00825775196465682</v>
      </c>
      <c r="I135" s="6"/>
      <c r="J135" s="6" t="n">
        <f aca="false">100*(F135-U135)/U135</f>
        <v>0.00825775196465682</v>
      </c>
      <c r="K135" s="6"/>
      <c r="M135" s="2" t="s">
        <v>463</v>
      </c>
      <c r="N135" s="2" t="n">
        <v>72659</v>
      </c>
      <c r="O135" s="2" t="n">
        <v>72651.7381</v>
      </c>
      <c r="P135" s="2" t="n">
        <v>466.5048</v>
      </c>
      <c r="Q135" s="2" t="n">
        <f aca="false">100*(N135-O135)/O135</f>
        <v>0.00999549383113478</v>
      </c>
      <c r="S135" s="2" t="s">
        <v>463</v>
      </c>
      <c r="T135" s="2" t="n">
        <v>72659</v>
      </c>
      <c r="U135" s="2" t="n">
        <v>72659</v>
      </c>
      <c r="V135" s="2" t="n">
        <v>697.9502</v>
      </c>
      <c r="W135" s="2" t="n">
        <f aca="false">100*(T135-U135)/U135</f>
        <v>0</v>
      </c>
      <c r="Y135" s="2" t="s">
        <v>463</v>
      </c>
      <c r="Z135" s="2" t="n">
        <v>72665</v>
      </c>
      <c r="AA135" s="2" t="n">
        <v>180.2963</v>
      </c>
      <c r="AB135" s="2" t="n">
        <f aca="false">100*(Z135-O135)/O135</f>
        <v>0.0182540711988798</v>
      </c>
      <c r="AD135" s="2" t="n">
        <f aca="false">100*(Z135-U135)/U135</f>
        <v>0.00825775196465682</v>
      </c>
      <c r="AF135" s="2" t="s">
        <v>463</v>
      </c>
      <c r="AG135" s="2" t="n">
        <v>72665</v>
      </c>
      <c r="AH135" s="2" t="n">
        <v>496.2697</v>
      </c>
      <c r="AI135" s="2" t="n">
        <f aca="false">100*(AG135-$O135)/$O135</f>
        <v>0.0182540711988798</v>
      </c>
      <c r="AL135" s="2" t="s">
        <v>463</v>
      </c>
      <c r="AM135" s="2" t="n">
        <v>72665</v>
      </c>
      <c r="AN135" s="2" t="n">
        <v>265.1431</v>
      </c>
      <c r="AO135" s="2" t="n">
        <f aca="false">100*(AM135-$O135)/$O135</f>
        <v>0.0182540711988798</v>
      </c>
    </row>
    <row r="136" customFormat="false" ht="13.8" hidden="false" customHeight="false" outlineLevel="0" collapsed="false">
      <c r="A136" s="3" t="s">
        <v>271</v>
      </c>
      <c r="B136" s="2" t="n">
        <v>67522</v>
      </c>
      <c r="C136" s="2" t="n">
        <f aca="false">100*(B136-$O136)/$O136</f>
        <v>0.00994456279122031</v>
      </c>
      <c r="E136" s="3" t="s">
        <v>464</v>
      </c>
      <c r="F136" s="2" t="n">
        <v>67535</v>
      </c>
      <c r="G136" s="2" t="n">
        <v>354.0137</v>
      </c>
      <c r="H136" s="2" t="n">
        <f aca="false">100*(F136-$U136)/$U136</f>
        <v>0.0192529842125529</v>
      </c>
      <c r="I136" s="6"/>
      <c r="J136" s="6" t="n">
        <f aca="false">100*(F136-U136)/U136</f>
        <v>0.0192529842125529</v>
      </c>
      <c r="K136" s="6"/>
      <c r="M136" s="2" t="s">
        <v>464</v>
      </c>
      <c r="N136" s="2" t="n">
        <v>67522</v>
      </c>
      <c r="O136" s="2" t="n">
        <v>67515.2859</v>
      </c>
      <c r="P136" s="2" t="n">
        <v>1200.4684</v>
      </c>
      <c r="Q136" s="2" t="n">
        <f aca="false">100*(N136-O136)/O136</f>
        <v>0.00994456279122031</v>
      </c>
      <c r="S136" s="2" t="s">
        <v>464</v>
      </c>
      <c r="T136" s="2" t="n">
        <v>67522</v>
      </c>
      <c r="U136" s="2" t="n">
        <v>67522</v>
      </c>
      <c r="V136" s="2" t="n">
        <v>1167.2395</v>
      </c>
      <c r="W136" s="2" t="n">
        <f aca="false">100*(T136-U136)/U136</f>
        <v>0</v>
      </c>
      <c r="Y136" s="2" t="s">
        <v>464</v>
      </c>
      <c r="Z136" s="2" t="n">
        <v>67522</v>
      </c>
      <c r="AA136" s="2" t="n">
        <v>419.2868</v>
      </c>
      <c r="AB136" s="2" t="n">
        <f aca="false">100*(Z136-O136)/O136</f>
        <v>0.00994456279122031</v>
      </c>
      <c r="AD136" s="2" t="n">
        <f aca="false">100*(Z136-U136)/U136</f>
        <v>0</v>
      </c>
      <c r="AF136" s="2" t="s">
        <v>464</v>
      </c>
      <c r="AG136" s="2" t="n">
        <v>67522</v>
      </c>
      <c r="AH136" s="2" t="n">
        <v>622.1307</v>
      </c>
      <c r="AI136" s="2" t="n">
        <f aca="false">100*(AG136-$O136)/$O136</f>
        <v>0.00994456279122031</v>
      </c>
      <c r="AL136" s="2" t="s">
        <v>464</v>
      </c>
      <c r="AM136" s="2" t="n">
        <v>67522</v>
      </c>
      <c r="AN136" s="2" t="n">
        <v>479.1204</v>
      </c>
      <c r="AO136" s="2" t="n">
        <f aca="false">100*(AM136-$O136)/$O136</f>
        <v>0.00994456279122031</v>
      </c>
    </row>
    <row r="137" customFormat="false" ht="13.8" hidden="false" customHeight="false" outlineLevel="0" collapsed="false">
      <c r="A137" s="3" t="s">
        <v>273</v>
      </c>
      <c r="B137" s="2" t="n">
        <v>74262</v>
      </c>
      <c r="C137" s="2" t="n">
        <f aca="false">100*(B137-$O137)/$O137</f>
        <v>0.0096514929486773</v>
      </c>
      <c r="E137" s="3" t="s">
        <v>465</v>
      </c>
      <c r="F137" s="2" t="n">
        <v>74266</v>
      </c>
      <c r="G137" s="2" t="n">
        <v>109.0784</v>
      </c>
      <c r="H137" s="2" t="n">
        <f aca="false">100*(F137-$U137)/$U137</f>
        <v>0.00538633486843877</v>
      </c>
      <c r="I137" s="6"/>
      <c r="J137" s="6" t="n">
        <f aca="false">100*(F137-U137)/U137</f>
        <v>0.00538633486843877</v>
      </c>
      <c r="K137" s="6"/>
      <c r="M137" s="2" t="s">
        <v>465</v>
      </c>
      <c r="N137" s="2" t="n">
        <v>74262</v>
      </c>
      <c r="O137" s="2" t="n">
        <v>74254.8333</v>
      </c>
      <c r="P137" s="2" t="n">
        <v>171.9037</v>
      </c>
      <c r="Q137" s="2" t="n">
        <f aca="false">100*(N137-O137)/O137</f>
        <v>0.0096514929486773</v>
      </c>
      <c r="S137" s="2" t="s">
        <v>465</v>
      </c>
      <c r="T137" s="2" t="n">
        <v>74262</v>
      </c>
      <c r="U137" s="2" t="n">
        <v>74262</v>
      </c>
      <c r="V137" s="2" t="n">
        <v>365.6739</v>
      </c>
      <c r="W137" s="2" t="n">
        <f aca="false">100*(T137-U137)/U137</f>
        <v>0</v>
      </c>
      <c r="Y137" s="2" t="s">
        <v>465</v>
      </c>
      <c r="Z137" s="2" t="n">
        <v>74274</v>
      </c>
      <c r="AA137" s="2" t="n">
        <v>126.4906</v>
      </c>
      <c r="AB137" s="2" t="n">
        <f aca="false">100*(Z137-O137)/O137</f>
        <v>0.0258120571391837</v>
      </c>
      <c r="AD137" s="2" t="n">
        <f aca="false">100*(Z137-U137)/U137</f>
        <v>0.0161590046053163</v>
      </c>
      <c r="AF137" s="2" t="s">
        <v>465</v>
      </c>
      <c r="AG137" s="2" t="n">
        <v>74262</v>
      </c>
      <c r="AH137" s="2" t="n">
        <v>185.0923</v>
      </c>
      <c r="AI137" s="2" t="n">
        <f aca="false">100*(AG137-$O137)/$O137</f>
        <v>0.0096514929486773</v>
      </c>
      <c r="AL137" s="2" t="s">
        <v>465</v>
      </c>
      <c r="AM137" s="2" t="n">
        <v>74275</v>
      </c>
      <c r="AN137" s="2" t="n">
        <v>150.9751</v>
      </c>
      <c r="AO137" s="2" t="n">
        <f aca="false">100*(AM137-$O137)/$O137</f>
        <v>0.0271587708217259</v>
      </c>
    </row>
    <row r="138" customFormat="false" ht="13.8" hidden="false" customHeight="false" outlineLevel="0" collapsed="false">
      <c r="A138" s="3" t="s">
        <v>275</v>
      </c>
      <c r="B138" s="2" t="n">
        <v>76004</v>
      </c>
      <c r="C138" s="2" t="n">
        <f aca="false">100*(B138-$O138)/$O138</f>
        <v>0.00992440992426917</v>
      </c>
      <c r="E138" s="3" t="s">
        <v>466</v>
      </c>
      <c r="F138" s="2" t="n">
        <v>76004</v>
      </c>
      <c r="G138" s="2" t="n">
        <v>125.5782</v>
      </c>
      <c r="H138" s="2" t="n">
        <f aca="false">100*(F138-$U138)/$U138</f>
        <v>0</v>
      </c>
      <c r="I138" s="6"/>
      <c r="J138" s="6" t="n">
        <f aca="false">100*(F138-U138)/U138</f>
        <v>0</v>
      </c>
      <c r="K138" s="6"/>
      <c r="M138" s="2" t="s">
        <v>466</v>
      </c>
      <c r="N138" s="2" t="n">
        <v>76004</v>
      </c>
      <c r="O138" s="2" t="n">
        <v>75996.4578</v>
      </c>
      <c r="P138" s="2" t="n">
        <v>106.0742</v>
      </c>
      <c r="Q138" s="2" t="n">
        <f aca="false">100*(N138-O138)/O138</f>
        <v>0.00992440992426917</v>
      </c>
      <c r="S138" s="2" t="s">
        <v>466</v>
      </c>
      <c r="T138" s="2" t="n">
        <v>76004</v>
      </c>
      <c r="U138" s="2" t="n">
        <v>76004</v>
      </c>
      <c r="V138" s="2" t="n">
        <v>411.998</v>
      </c>
      <c r="W138" s="2" t="n">
        <f aca="false">100*(T138-U138)/U138</f>
        <v>0</v>
      </c>
      <c r="Y138" s="2" t="s">
        <v>466</v>
      </c>
      <c r="Z138" s="2" t="n">
        <v>76004</v>
      </c>
      <c r="AA138" s="2" t="n">
        <v>193.8072</v>
      </c>
      <c r="AB138" s="2" t="n">
        <f aca="false">100*(Z138-O138)/O138</f>
        <v>0.00992440992426917</v>
      </c>
      <c r="AD138" s="2" t="n">
        <f aca="false">100*(Z138-U138)/U138</f>
        <v>0</v>
      </c>
      <c r="AF138" s="2" t="s">
        <v>466</v>
      </c>
      <c r="AG138" s="2" t="n">
        <v>76004</v>
      </c>
      <c r="AH138" s="2" t="n">
        <v>226.8187</v>
      </c>
      <c r="AI138" s="2" t="n">
        <f aca="false">100*(AG138-$O138)/$O138</f>
        <v>0.00992440992426917</v>
      </c>
      <c r="AL138" s="2" t="s">
        <v>466</v>
      </c>
      <c r="AM138" s="2" t="n">
        <v>76004</v>
      </c>
      <c r="AN138" s="2" t="n">
        <v>209.273</v>
      </c>
      <c r="AO138" s="2" t="n">
        <f aca="false">100*(AM138-$O138)/$O138</f>
        <v>0.00992440992426917</v>
      </c>
    </row>
    <row r="139" customFormat="false" ht="13.8" hidden="false" customHeight="false" outlineLevel="0" collapsed="false">
      <c r="A139" s="3" t="s">
        <v>277</v>
      </c>
      <c r="B139" s="2" t="n">
        <v>74409</v>
      </c>
      <c r="C139" s="2" t="n">
        <f aca="false">100*(B139-$O139)/$O139</f>
        <v>0.00375492871689935</v>
      </c>
      <c r="E139" s="3" t="s">
        <v>467</v>
      </c>
      <c r="F139" s="2" t="n">
        <v>74409</v>
      </c>
      <c r="G139" s="2" t="n">
        <v>272.9084</v>
      </c>
      <c r="H139" s="2" t="n">
        <f aca="false">100*(F139-$U139)/$U139</f>
        <v>0</v>
      </c>
      <c r="I139" s="6"/>
      <c r="J139" s="6" t="n">
        <f aca="false">100*(F139-U139)/U139</f>
        <v>0</v>
      </c>
      <c r="K139" s="6"/>
      <c r="M139" s="2" t="s">
        <v>467</v>
      </c>
      <c r="N139" s="2" t="n">
        <v>74413</v>
      </c>
      <c r="O139" s="2" t="n">
        <v>74406.2061</v>
      </c>
      <c r="P139" s="2" t="n">
        <v>144.4546</v>
      </c>
      <c r="Q139" s="2" t="n">
        <f aca="false">100*(N139-O139)/O139</f>
        <v>0.00913082437085072</v>
      </c>
      <c r="S139" s="2" t="s">
        <v>467</v>
      </c>
      <c r="T139" s="2" t="n">
        <v>74409</v>
      </c>
      <c r="U139" s="2" t="n">
        <v>74409</v>
      </c>
      <c r="V139" s="2" t="n">
        <v>638.5403</v>
      </c>
      <c r="W139" s="2" t="n">
        <f aca="false">100*(T139-U139)/U139</f>
        <v>0</v>
      </c>
      <c r="Y139" s="2" t="s">
        <v>467</v>
      </c>
      <c r="Z139" s="2" t="n">
        <v>74409</v>
      </c>
      <c r="AA139" s="2" t="n">
        <v>162.1253</v>
      </c>
      <c r="AB139" s="2" t="n">
        <f aca="false">100*(Z139-O139)/O139</f>
        <v>0.00375492871689935</v>
      </c>
      <c r="AD139" s="2" t="n">
        <f aca="false">100*(Z139-U139)/U139</f>
        <v>0</v>
      </c>
      <c r="AF139" s="2" t="s">
        <v>467</v>
      </c>
      <c r="AG139" s="2" t="n">
        <v>74409</v>
      </c>
      <c r="AH139" s="2" t="n">
        <v>301.1202</v>
      </c>
      <c r="AI139" s="2" t="n">
        <f aca="false">100*(AG139-$O139)/$O139</f>
        <v>0.00375492871689935</v>
      </c>
      <c r="AL139" s="2" t="s">
        <v>467</v>
      </c>
      <c r="AM139" s="2" t="n">
        <v>74409</v>
      </c>
      <c r="AN139" s="2" t="n">
        <v>324.8389</v>
      </c>
      <c r="AO139" s="2" t="n">
        <f aca="false">100*(AM139-$O139)/$O139</f>
        <v>0.00375492871689935</v>
      </c>
    </row>
    <row r="140" customFormat="false" ht="13.8" hidden="false" customHeight="false" outlineLevel="0" collapsed="false">
      <c r="A140" s="3" t="s">
        <v>279</v>
      </c>
      <c r="B140" s="2" t="n">
        <v>73702</v>
      </c>
      <c r="C140" s="2" t="n">
        <f aca="false">100*(B140-$O140)/$O140</f>
        <v>0.00858490019386942</v>
      </c>
      <c r="E140" s="3" t="s">
        <v>468</v>
      </c>
      <c r="F140" s="2" t="n">
        <v>73702</v>
      </c>
      <c r="G140" s="2" t="n">
        <v>224.8211</v>
      </c>
      <c r="H140" s="2" t="n">
        <f aca="false">100*(F140-$U140)/$U140</f>
        <v>0</v>
      </c>
      <c r="I140" s="6"/>
      <c r="J140" s="6" t="n">
        <f aca="false">100*(F140-U140)/U140</f>
        <v>0</v>
      </c>
      <c r="K140" s="6"/>
      <c r="M140" s="2" t="s">
        <v>468</v>
      </c>
      <c r="N140" s="2" t="n">
        <v>73703</v>
      </c>
      <c r="O140" s="2" t="n">
        <v>73695.6733</v>
      </c>
      <c r="P140" s="2" t="n">
        <v>107.8864</v>
      </c>
      <c r="Q140" s="2" t="n">
        <f aca="false">100*(N140-O140)/O140</f>
        <v>0.00994183195827465</v>
      </c>
      <c r="S140" s="2" t="s">
        <v>468</v>
      </c>
      <c r="T140" s="2" t="n">
        <v>73702</v>
      </c>
      <c r="U140" s="2" t="n">
        <v>73702</v>
      </c>
      <c r="V140" s="2" t="n">
        <v>447.4351</v>
      </c>
      <c r="W140" s="2" t="n">
        <f aca="false">100*(T140-U140)/U140</f>
        <v>0</v>
      </c>
      <c r="Y140" s="2" t="s">
        <v>468</v>
      </c>
      <c r="Z140" s="2" t="n">
        <v>73703</v>
      </c>
      <c r="AA140" s="2" t="n">
        <v>290.522</v>
      </c>
      <c r="AB140" s="2" t="n">
        <f aca="false">100*(Z140-O140)/O140</f>
        <v>0.00994183195827465</v>
      </c>
      <c r="AD140" s="2" t="n">
        <f aca="false">100*(Z140-U140)/U140</f>
        <v>0.00135681528316735</v>
      </c>
      <c r="AF140" s="2" t="s">
        <v>468</v>
      </c>
      <c r="AG140" s="2" t="n">
        <v>73702</v>
      </c>
      <c r="AH140" s="2" t="n">
        <v>230.329</v>
      </c>
      <c r="AI140" s="2" t="n">
        <f aca="false">100*(AG140-$O140)/$O140</f>
        <v>0.00858490019386942</v>
      </c>
      <c r="AL140" s="2" t="s">
        <v>468</v>
      </c>
      <c r="AM140" s="2" t="n">
        <v>73703</v>
      </c>
      <c r="AN140" s="2" t="n">
        <v>341.922</v>
      </c>
      <c r="AO140" s="2" t="n">
        <f aca="false">100*(AM140-$O140)/$O140</f>
        <v>0.00994183195827465</v>
      </c>
    </row>
    <row r="141" customFormat="false" ht="13.8" hidden="false" customHeight="false" outlineLevel="0" collapsed="false">
      <c r="A141" s="3" t="s">
        <v>281</v>
      </c>
      <c r="B141" s="2" t="n">
        <v>73488</v>
      </c>
      <c r="C141" s="2" t="n">
        <f aca="false">100*(B141-$O141)/$O141</f>
        <v>0.00719910848034518</v>
      </c>
      <c r="E141" s="3" t="s">
        <v>469</v>
      </c>
      <c r="F141" s="2" t="n">
        <v>73489</v>
      </c>
      <c r="G141" s="2" t="n">
        <v>114.4513</v>
      </c>
      <c r="H141" s="2" t="n">
        <f aca="false">100*(F141-$U141)/$U141</f>
        <v>0.00136076638362726</v>
      </c>
      <c r="I141" s="6" t="n">
        <f aca="false">AVERAGE(H132:H141)</f>
        <v>0.00712572193030098</v>
      </c>
      <c r="J141" s="6" t="n">
        <f aca="false">100*(F141-U141)/U141</f>
        <v>0.00136076638362726</v>
      </c>
      <c r="K141" s="6" t="n">
        <f aca="false">AVERAGE(J132:J141)</f>
        <v>0.00712572193030098</v>
      </c>
      <c r="M141" s="2" t="s">
        <v>469</v>
      </c>
      <c r="N141" s="2" t="n">
        <v>73490</v>
      </c>
      <c r="O141" s="2" t="n">
        <v>73482.7099</v>
      </c>
      <c r="P141" s="2" t="n">
        <v>119.7267</v>
      </c>
      <c r="Q141" s="2" t="n">
        <f aca="false">100*(N141-O141)/O141</f>
        <v>0.00992083717369594</v>
      </c>
      <c r="R141" s="7" t="n">
        <f aca="false">AVERAGE(Q132:Q141)</f>
        <v>0.00978604542581173</v>
      </c>
      <c r="S141" s="2" t="s">
        <v>469</v>
      </c>
      <c r="T141" s="2" t="n">
        <v>73488</v>
      </c>
      <c r="U141" s="2" t="n">
        <v>73488</v>
      </c>
      <c r="V141" s="2" t="n">
        <v>412.9748</v>
      </c>
      <c r="W141" s="2" t="n">
        <f aca="false">100*(T141-U141)/U141</f>
        <v>0</v>
      </c>
      <c r="X141" s="6" t="n">
        <f aca="false">AVERAGE(W132:W141)</f>
        <v>0</v>
      </c>
      <c r="Y141" s="2" t="s">
        <v>469</v>
      </c>
      <c r="Z141" s="2" t="n">
        <v>73488</v>
      </c>
      <c r="AA141" s="2" t="n">
        <v>202.8353</v>
      </c>
      <c r="AB141" s="2" t="n">
        <f aca="false">100*(Z141-O141)/O141</f>
        <v>0.00719910848034518</v>
      </c>
      <c r="AC141" s="6" t="n">
        <f aca="false">AVERAGE(AB132:AB141)</f>
        <v>0.0111506842330986</v>
      </c>
      <c r="AD141" s="2" t="n">
        <f aca="false">100*(Z141-U141)/U141</f>
        <v>0</v>
      </c>
      <c r="AE141" s="6" t="n">
        <f aca="false">AVERAGE(AD132:AD141)</f>
        <v>0.00257735718531405</v>
      </c>
      <c r="AF141" s="2" t="s">
        <v>469</v>
      </c>
      <c r="AG141" s="2" t="n">
        <v>73488</v>
      </c>
      <c r="AH141" s="2" t="n">
        <v>207.5665</v>
      </c>
      <c r="AI141" s="2" t="n">
        <f aca="false">100*(AG141-$O141)/$O141</f>
        <v>0.00719910848034518</v>
      </c>
      <c r="AJ141" s="6" t="n">
        <f aca="false">AVERAGE(AI132:AI141)</f>
        <v>0.0107847152502245</v>
      </c>
      <c r="AL141" s="2" t="s">
        <v>469</v>
      </c>
      <c r="AM141" s="2" t="n">
        <v>73489</v>
      </c>
      <c r="AN141" s="2" t="n">
        <v>220.3977</v>
      </c>
      <c r="AO141" s="2" t="n">
        <f aca="false">100*(AM141-$O141)/$O141</f>
        <v>0.00855997282702056</v>
      </c>
      <c r="AP141" s="6" t="n">
        <f aca="false">AVERAGE(AO132:AO141)</f>
        <v>0.0133570585741607</v>
      </c>
    </row>
    <row r="142" customFormat="false" ht="13.8" hidden="false" customHeight="false" outlineLevel="0" collapsed="false">
      <c r="A142" s="3" t="s">
        <v>283</v>
      </c>
      <c r="B142" s="2" t="n">
        <v>112575</v>
      </c>
      <c r="C142" s="2" t="n">
        <f aca="false">100*(B142-$O142)/$O142</f>
        <v>1.41251942349278</v>
      </c>
      <c r="E142" s="3" t="s">
        <v>470</v>
      </c>
      <c r="F142" s="2" t="n">
        <v>111940</v>
      </c>
      <c r="G142" s="2" t="n">
        <v>1920.5477</v>
      </c>
      <c r="H142" s="2" t="n">
        <f aca="false">100*(F142-$U142)/$U142</f>
        <v>0.752488238587094</v>
      </c>
      <c r="I142" s="6"/>
      <c r="J142" s="6" t="n">
        <f aca="false">100*(F142-U142)/U142</f>
        <v>0.752488238587094</v>
      </c>
      <c r="K142" s="6"/>
      <c r="M142" s="2" t="s">
        <v>470</v>
      </c>
      <c r="N142" s="2" t="n">
        <v>112713</v>
      </c>
      <c r="O142" s="2" t="n">
        <v>111007.0045</v>
      </c>
      <c r="P142" s="2" t="n">
        <v>3600.5989</v>
      </c>
      <c r="Q142" s="2" t="n">
        <f aca="false">100*(N142-O142)/O142</f>
        <v>1.53683590299926</v>
      </c>
      <c r="S142" s="2" t="s">
        <v>470</v>
      </c>
      <c r="T142" s="2" t="n">
        <v>112252</v>
      </c>
      <c r="U142" s="2" t="n">
        <v>111103.9558</v>
      </c>
      <c r="V142" s="2" t="n">
        <v>3611.4407</v>
      </c>
      <c r="W142" s="2" t="n">
        <f aca="false">100*(T142-U142)/U142</f>
        <v>1.03330632265391</v>
      </c>
      <c r="Y142" s="2" t="s">
        <v>470</v>
      </c>
      <c r="Z142" s="2" t="n">
        <v>112005</v>
      </c>
      <c r="AA142" s="2" t="n">
        <v>1583.927</v>
      </c>
      <c r="AB142" s="2" t="n">
        <f aca="false">100*(Z142-O142)/O142</f>
        <v>0.899038312487753</v>
      </c>
      <c r="AD142" s="2" t="n">
        <f aca="false">100*(Z142-U142)/U142</f>
        <v>0.810992006101014</v>
      </c>
      <c r="AF142" s="2" t="s">
        <v>470</v>
      </c>
      <c r="AG142" s="2" t="n">
        <v>111988</v>
      </c>
      <c r="AH142" s="2" t="n">
        <v>1315.0375</v>
      </c>
      <c r="AI142" s="2" t="n">
        <f aca="false">100*(AG142-$O142)/$O142</f>
        <v>0.883723963563042</v>
      </c>
      <c r="AL142" s="2" t="s">
        <v>470</v>
      </c>
      <c r="AM142" s="2" t="n">
        <v>111954</v>
      </c>
      <c r="AN142" s="2" t="n">
        <v>1691.3072</v>
      </c>
      <c r="AO142" s="2" t="n">
        <f aca="false">100*(AM142-$O142)/$O142</f>
        <v>0.853095265713619</v>
      </c>
    </row>
    <row r="143" customFormat="false" ht="13.8" hidden="false" customHeight="false" outlineLevel="0" collapsed="false">
      <c r="A143" s="3" t="s">
        <v>285</v>
      </c>
      <c r="B143" s="2" t="n">
        <v>116349</v>
      </c>
      <c r="C143" s="2" t="n">
        <f aca="false">100*(B143-$O143)/$O143</f>
        <v>0.639762042966008</v>
      </c>
      <c r="E143" s="3" t="s">
        <v>471</v>
      </c>
      <c r="F143" s="2" t="n">
        <v>115981</v>
      </c>
      <c r="G143" s="2" t="n">
        <v>931.8176</v>
      </c>
      <c r="H143" s="2" t="n">
        <f aca="false">100*(F143-$U143)/$U143</f>
        <v>0.125693092400854</v>
      </c>
      <c r="I143" s="6"/>
      <c r="J143" s="6" t="n">
        <f aca="false">100*(F143-U143)/U143</f>
        <v>0.125693092400854</v>
      </c>
      <c r="K143" s="6"/>
      <c r="M143" s="2" t="s">
        <v>471</v>
      </c>
      <c r="N143" s="2" t="n">
        <v>116378</v>
      </c>
      <c r="O143" s="2" t="n">
        <v>115609.3751</v>
      </c>
      <c r="P143" s="2" t="n">
        <v>3600.4324</v>
      </c>
      <c r="Q143" s="2" t="n">
        <f aca="false">100*(N143-O143)/O143</f>
        <v>0.664846513818753</v>
      </c>
      <c r="S143" s="2" t="s">
        <v>471</v>
      </c>
      <c r="T143" s="2" t="n">
        <v>116012</v>
      </c>
      <c r="U143" s="2" t="n">
        <v>115835.4029</v>
      </c>
      <c r="V143" s="2" t="n">
        <v>3612.3663</v>
      </c>
      <c r="W143" s="2" t="n">
        <f aca="false">100*(T143-U143)/U143</f>
        <v>0.152455204176615</v>
      </c>
      <c r="Y143" s="2" t="s">
        <v>471</v>
      </c>
      <c r="Z143" s="2" t="n">
        <v>116190</v>
      </c>
      <c r="AA143" s="2" t="n">
        <v>1003.6036</v>
      </c>
      <c r="AB143" s="2" t="n">
        <f aca="false">100*(Z143-O143)/O143</f>
        <v>0.502229944152683</v>
      </c>
      <c r="AD143" s="2" t="n">
        <f aca="false">100*(Z143-U143)/U143</f>
        <v>0.306121523405172</v>
      </c>
      <c r="AF143" s="2" t="s">
        <v>471</v>
      </c>
      <c r="AG143" s="2" t="n">
        <v>116096</v>
      </c>
      <c r="AH143" s="2" t="n">
        <v>1281.7067</v>
      </c>
      <c r="AI143" s="2" t="n">
        <f aca="false">100*(AG143-$O143)/$O143</f>
        <v>0.420921659319647</v>
      </c>
      <c r="AL143" s="2" t="s">
        <v>471</v>
      </c>
      <c r="AM143" s="2" t="n">
        <v>115981</v>
      </c>
      <c r="AN143" s="2" t="n">
        <v>1206.8282</v>
      </c>
      <c r="AO143" s="2" t="n">
        <f aca="false">100*(AM143-$O143)/$O143</f>
        <v>0.321448757662211</v>
      </c>
    </row>
    <row r="144" customFormat="false" ht="13.8" hidden="false" customHeight="false" outlineLevel="0" collapsed="false">
      <c r="A144" s="3" t="s">
        <v>287</v>
      </c>
      <c r="B144" s="2" t="n">
        <v>125798</v>
      </c>
      <c r="C144" s="2" t="n">
        <f aca="false">100*(B144-$O144)/$O144</f>
        <v>1.06624705864627</v>
      </c>
      <c r="E144" s="3" t="s">
        <v>472</v>
      </c>
      <c r="F144" s="2" t="n">
        <v>125440</v>
      </c>
      <c r="G144" s="2" t="n">
        <v>1364.7184</v>
      </c>
      <c r="H144" s="2" t="n">
        <f aca="false">100*(F144-$U144)/$U144</f>
        <v>0.677562725970028</v>
      </c>
      <c r="I144" s="6"/>
      <c r="J144" s="6" t="n">
        <f aca="false">100*(F144-U144)/U144</f>
        <v>0.677562725970028</v>
      </c>
      <c r="K144" s="6"/>
      <c r="M144" s="2" t="s">
        <v>472</v>
      </c>
      <c r="N144" s="2" t="n">
        <v>125676</v>
      </c>
      <c r="O144" s="2" t="n">
        <v>124470.8334</v>
      </c>
      <c r="P144" s="2" t="n">
        <v>3600.5115</v>
      </c>
      <c r="Q144" s="2" t="n">
        <f aca="false">100*(N144-O144)/O144</f>
        <v>0.968232128828983</v>
      </c>
      <c r="S144" s="2" t="s">
        <v>472</v>
      </c>
      <c r="T144" s="2" t="n">
        <v>125541</v>
      </c>
      <c r="U144" s="2" t="n">
        <v>124595.7854</v>
      </c>
      <c r="V144" s="2" t="n">
        <v>3609.767</v>
      </c>
      <c r="W144" s="2" t="n">
        <f aca="false">100*(T144-U144)/U144</f>
        <v>0.75862485794805</v>
      </c>
      <c r="Y144" s="2" t="s">
        <v>472</v>
      </c>
      <c r="Z144" s="2" t="n">
        <v>125511</v>
      </c>
      <c r="AA144" s="2" t="n">
        <v>1198.2088</v>
      </c>
      <c r="AB144" s="2" t="n">
        <f aca="false">100*(Z144-O144)/O144</f>
        <v>0.835670953256425</v>
      </c>
      <c r="AD144" s="2" t="n">
        <f aca="false">100*(Z144-U144)/U144</f>
        <v>0.734546996964479</v>
      </c>
      <c r="AF144" s="2" t="s">
        <v>472</v>
      </c>
      <c r="AG144" s="2" t="n">
        <v>125478</v>
      </c>
      <c r="AH144" s="2" t="n">
        <v>1977.4121</v>
      </c>
      <c r="AI144" s="2" t="n">
        <f aca="false">100*(AG144-$O144)/$O144</f>
        <v>0.809158718141913</v>
      </c>
      <c r="AL144" s="2" t="s">
        <v>472</v>
      </c>
      <c r="AM144" s="2" t="n">
        <v>125307</v>
      </c>
      <c r="AN144" s="2" t="n">
        <v>1164.9129</v>
      </c>
      <c r="AO144" s="2" t="n">
        <f aca="false">100*(AM144-$O144)/$O144</f>
        <v>0.671777136184899</v>
      </c>
    </row>
    <row r="145" customFormat="false" ht="13.8" hidden="false" customHeight="false" outlineLevel="0" collapsed="false">
      <c r="A145" s="3" t="s">
        <v>289</v>
      </c>
      <c r="B145" s="2" t="n">
        <v>122747</v>
      </c>
      <c r="C145" s="2" t="n">
        <f aca="false">100*(B145-$O145)/$O145</f>
        <v>1.93156110521388</v>
      </c>
      <c r="E145" s="3" t="s">
        <v>473</v>
      </c>
      <c r="F145" s="2" t="n">
        <v>121429</v>
      </c>
      <c r="G145" s="2" t="n">
        <v>2814.2011</v>
      </c>
      <c r="H145" s="2" t="n">
        <f aca="false">100*(F145-$U145)/$U145</f>
        <v>0.717828084654725</v>
      </c>
      <c r="I145" s="6"/>
      <c r="J145" s="6" t="n">
        <f aca="false">100*(F145-U145)/U145</f>
        <v>0.717828084654725</v>
      </c>
      <c r="K145" s="6"/>
      <c r="M145" s="2" t="s">
        <v>473</v>
      </c>
      <c r="N145" s="2" t="n">
        <v>122514</v>
      </c>
      <c r="O145" s="2" t="n">
        <v>120420.9949</v>
      </c>
      <c r="P145" s="2" t="n">
        <v>3600.465</v>
      </c>
      <c r="Q145" s="2" t="n">
        <f aca="false">100*(N145-O145)/O145</f>
        <v>1.73807325021527</v>
      </c>
      <c r="S145" s="2" t="s">
        <v>473</v>
      </c>
      <c r="T145" s="2" t="n">
        <v>121946</v>
      </c>
      <c r="U145" s="2" t="n">
        <v>120563.5609</v>
      </c>
      <c r="V145" s="2" t="n">
        <v>3605.3896</v>
      </c>
      <c r="W145" s="2" t="n">
        <f aca="false">100*(T145-U145)/U145</f>
        <v>1.14664753569003</v>
      </c>
      <c r="Y145" s="2" t="s">
        <v>473</v>
      </c>
      <c r="Z145" s="2" t="n">
        <v>121425</v>
      </c>
      <c r="AA145" s="2" t="n">
        <v>1512.3991</v>
      </c>
      <c r="AB145" s="2" t="n">
        <f aca="false">100*(Z145-O145)/O145</f>
        <v>0.833745893590848</v>
      </c>
      <c r="AD145" s="2" t="n">
        <f aca="false">100*(Z145-U145)/U145</f>
        <v>0.714510332615767</v>
      </c>
      <c r="AF145" s="2" t="s">
        <v>473</v>
      </c>
      <c r="AG145" s="2" t="n">
        <v>121459</v>
      </c>
      <c r="AH145" s="2" t="n">
        <v>2096.1587</v>
      </c>
      <c r="AI145" s="2" t="n">
        <f aca="false">100*(AG145-$O145)/$O145</f>
        <v>0.861980172861032</v>
      </c>
      <c r="AL145" s="2" t="s">
        <v>473</v>
      </c>
      <c r="AM145" s="2" t="n">
        <v>121439</v>
      </c>
      <c r="AN145" s="2" t="n">
        <v>1448.638</v>
      </c>
      <c r="AO145" s="2" t="n">
        <f aca="false">100*(AM145-$O145)/$O145</f>
        <v>0.845371773290336</v>
      </c>
    </row>
    <row r="146" customFormat="false" ht="13.8" hidden="false" customHeight="false" outlineLevel="0" collapsed="false">
      <c r="A146" s="3" t="s">
        <v>291</v>
      </c>
      <c r="B146" s="2" t="n">
        <v>109677</v>
      </c>
      <c r="C146" s="2" t="n">
        <f aca="false">100*(B146-$O146)/$O146</f>
        <v>1.89198440181683</v>
      </c>
      <c r="E146" s="3" t="s">
        <v>474</v>
      </c>
      <c r="F146" s="2" t="n">
        <v>108924</v>
      </c>
      <c r="G146" s="2" t="n">
        <v>1657.1088</v>
      </c>
      <c r="H146" s="2" t="n">
        <f aca="false">100*(F146-$U146)/$U146</f>
        <v>1.01245361678608</v>
      </c>
      <c r="I146" s="6"/>
      <c r="J146" s="6" t="n">
        <f aca="false">100*(F146-U146)/U146</f>
        <v>1.01245361678608</v>
      </c>
      <c r="K146" s="6"/>
      <c r="M146" s="2" t="s">
        <v>474</v>
      </c>
      <c r="N146" s="2" t="n">
        <v>109742</v>
      </c>
      <c r="O146" s="2" t="n">
        <v>107640.4593</v>
      </c>
      <c r="P146" s="2" t="n">
        <v>3600.4536</v>
      </c>
      <c r="Q146" s="2" t="n">
        <f aca="false">100*(N146-O146)/O146</f>
        <v>1.95237061757874</v>
      </c>
      <c r="S146" s="2" t="s">
        <v>474</v>
      </c>
      <c r="T146" s="2" t="n">
        <v>108781</v>
      </c>
      <c r="U146" s="2" t="n">
        <v>107832.2485</v>
      </c>
      <c r="V146" s="2" t="n">
        <v>3607.0408</v>
      </c>
      <c r="W146" s="2" t="n">
        <f aca="false">100*(T146-U146)/U146</f>
        <v>0.879840227017058</v>
      </c>
      <c r="Y146" s="2" t="s">
        <v>474</v>
      </c>
      <c r="Z146" s="2" t="n">
        <v>108624</v>
      </c>
      <c r="AA146" s="2" t="n">
        <v>1221.2156</v>
      </c>
      <c r="AB146" s="2" t="n">
        <f aca="false">100*(Z146-O146)/O146</f>
        <v>0.913727706474026</v>
      </c>
      <c r="AD146" s="2" t="n">
        <f aca="false">100*(Z146-U146)/U146</f>
        <v>0.734243708179746</v>
      </c>
      <c r="AF146" s="2" t="s">
        <v>474</v>
      </c>
      <c r="AG146" s="2" t="n">
        <v>108896</v>
      </c>
      <c r="AH146" s="2" t="n">
        <v>1853.9784</v>
      </c>
      <c r="AI146" s="2" t="n">
        <f aca="false">100*(AG146-$O146)/$O146</f>
        <v>1.16642079396998</v>
      </c>
      <c r="AL146" s="2" t="s">
        <v>474</v>
      </c>
      <c r="AM146" s="2" t="n">
        <v>108899</v>
      </c>
      <c r="AN146" s="2" t="n">
        <v>1310.0704</v>
      </c>
      <c r="AO146" s="2" t="n">
        <f aca="false">100*(AM146-$O146)/$O146</f>
        <v>1.16920785008207</v>
      </c>
    </row>
    <row r="147" customFormat="false" ht="13.8" hidden="false" customHeight="false" outlineLevel="0" collapsed="false">
      <c r="A147" s="3" t="s">
        <v>293</v>
      </c>
      <c r="B147" s="2" t="n">
        <v>126903</v>
      </c>
      <c r="C147" s="2" t="n">
        <f aca="false">100*(B147-$O147)/$O147</f>
        <v>0.789233474922421</v>
      </c>
      <c r="E147" s="3" t="s">
        <v>475</v>
      </c>
      <c r="F147" s="2" t="n">
        <v>126708</v>
      </c>
      <c r="G147" s="2" t="n">
        <v>1239.2465</v>
      </c>
      <c r="H147" s="2" t="n">
        <f aca="false">100*(F147-$U147)/$U147</f>
        <v>0.497643139200082</v>
      </c>
      <c r="I147" s="6"/>
      <c r="J147" s="6" t="n">
        <f aca="false">100*(F147-U147)/U147</f>
        <v>0.497643139200082</v>
      </c>
      <c r="K147" s="6"/>
      <c r="M147" s="2" t="s">
        <v>475</v>
      </c>
      <c r="N147" s="2" t="n">
        <v>127778</v>
      </c>
      <c r="O147" s="2" t="n">
        <v>125909.2818</v>
      </c>
      <c r="P147" s="2" t="n">
        <v>3600.4277</v>
      </c>
      <c r="Q147" s="2" t="n">
        <f aca="false">100*(N147-O147)/O147</f>
        <v>1.48417826969132</v>
      </c>
      <c r="S147" s="2" t="s">
        <v>475</v>
      </c>
      <c r="T147" s="2" t="n">
        <v>126855</v>
      </c>
      <c r="U147" s="2" t="n">
        <v>126080.5687</v>
      </c>
      <c r="V147" s="2" t="n">
        <v>3613.259</v>
      </c>
      <c r="W147" s="2" t="n">
        <f aca="false">100*(T147-U147)/U147</f>
        <v>0.614235252890318</v>
      </c>
      <c r="Y147" s="2" t="s">
        <v>475</v>
      </c>
      <c r="Z147" s="2" t="n">
        <v>126704</v>
      </c>
      <c r="AA147" s="2" t="n">
        <v>1143.7624</v>
      </c>
      <c r="AB147" s="2" t="n">
        <f aca="false">100*(Z147-O147)/O147</f>
        <v>0.631183173026409</v>
      </c>
      <c r="AD147" s="2" t="n">
        <f aca="false">100*(Z147-U147)/U147</f>
        <v>0.494470564677899</v>
      </c>
      <c r="AF147" s="2" t="s">
        <v>475</v>
      </c>
      <c r="AG147" s="2" t="n">
        <v>126843</v>
      </c>
      <c r="AH147" s="2" t="n">
        <v>1705.1364</v>
      </c>
      <c r="AI147" s="2" t="n">
        <f aca="false">100*(AG147-$O147)/$O147</f>
        <v>0.741580117566839</v>
      </c>
      <c r="AL147" s="2" t="s">
        <v>475</v>
      </c>
      <c r="AM147" s="2" t="n">
        <v>126657</v>
      </c>
      <c r="AN147" s="2" t="n">
        <v>1508.7</v>
      </c>
      <c r="AO147" s="2" t="n">
        <f aca="false">100*(AM147-$O147)/$O147</f>
        <v>0.593854709764537</v>
      </c>
    </row>
    <row r="148" customFormat="false" ht="13.8" hidden="false" customHeight="false" outlineLevel="0" collapsed="false">
      <c r="A148" s="3" t="s">
        <v>295</v>
      </c>
      <c r="B148" s="2" t="n">
        <v>125774</v>
      </c>
      <c r="C148" s="2" t="n">
        <f aca="false">100*(B148-$O148)/$O148</f>
        <v>0.529594915951729</v>
      </c>
      <c r="E148" s="3" t="s">
        <v>476</v>
      </c>
      <c r="F148" s="2" t="n">
        <v>125670</v>
      </c>
      <c r="G148" s="2" t="n">
        <v>852.5433</v>
      </c>
      <c r="H148" s="2" t="n">
        <f aca="false">100*(F148-$U148)/$U148</f>
        <v>0.320776541149272</v>
      </c>
      <c r="I148" s="6"/>
      <c r="J148" s="6" t="n">
        <f aca="false">100*(F148-U148)/U148</f>
        <v>0.320776541149272</v>
      </c>
      <c r="K148" s="6"/>
      <c r="M148" s="2" t="s">
        <v>476</v>
      </c>
      <c r="N148" s="2" t="n">
        <v>125831</v>
      </c>
      <c r="O148" s="2" t="n">
        <v>125111.4163</v>
      </c>
      <c r="P148" s="2" t="n">
        <v>3600.4819</v>
      </c>
      <c r="Q148" s="2" t="n">
        <f aca="false">100*(N148-O148)/O148</f>
        <v>0.575154307481053</v>
      </c>
      <c r="S148" s="2" t="s">
        <v>476</v>
      </c>
      <c r="T148" s="2" t="n">
        <v>125740</v>
      </c>
      <c r="U148" s="2" t="n">
        <v>125268.1691</v>
      </c>
      <c r="V148" s="2" t="n">
        <v>3607.6404</v>
      </c>
      <c r="W148" s="2" t="n">
        <f aca="false">100*(T148-U148)/U148</f>
        <v>0.376656658582871</v>
      </c>
      <c r="Y148" s="2" t="s">
        <v>476</v>
      </c>
      <c r="Z148" s="2" t="n">
        <v>125832</v>
      </c>
      <c r="AA148" s="2" t="n">
        <v>1086.4172</v>
      </c>
      <c r="AB148" s="2" t="n">
        <f aca="false">100*(Z148-O148)/O148</f>
        <v>0.575953595051743</v>
      </c>
      <c r="AD148" s="2" t="n">
        <f aca="false">100*(Z148-U148)/U148</f>
        <v>0.450099098638459</v>
      </c>
      <c r="AF148" s="2" t="s">
        <v>476</v>
      </c>
      <c r="AG148" s="2" t="n">
        <v>125929</v>
      </c>
      <c r="AH148" s="2" t="n">
        <v>1194.3862</v>
      </c>
      <c r="AI148" s="2" t="n">
        <f aca="false">100*(AG148-$O148)/$O148</f>
        <v>0.653484489408664</v>
      </c>
      <c r="AL148" s="2" t="s">
        <v>476</v>
      </c>
      <c r="AM148" s="2" t="n">
        <v>125670</v>
      </c>
      <c r="AN148" s="2" t="n">
        <v>740.886</v>
      </c>
      <c r="AO148" s="2" t="n">
        <f aca="false">100*(AM148-$O148)/$O148</f>
        <v>0.446469008599979</v>
      </c>
    </row>
    <row r="149" customFormat="false" ht="13.8" hidden="false" customHeight="false" outlineLevel="0" collapsed="false">
      <c r="A149" s="3" t="s">
        <v>297</v>
      </c>
      <c r="B149" s="2" t="n">
        <v>121144</v>
      </c>
      <c r="C149" s="2" t="n">
        <f aca="false">100*(B149-$O149)/$O149</f>
        <v>0.889788488577564</v>
      </c>
      <c r="E149" s="3" t="s">
        <v>477</v>
      </c>
      <c r="F149" s="2" t="n">
        <v>120781</v>
      </c>
      <c r="G149" s="2" t="n">
        <v>983.5178</v>
      </c>
      <c r="H149" s="2" t="n">
        <f aca="false">100*(F149-$U149)/$U149</f>
        <v>0.43422073971556</v>
      </c>
      <c r="I149" s="6"/>
      <c r="J149" s="6" t="n">
        <f aca="false">100*(F149-U149)/U149</f>
        <v>0.43422073971556</v>
      </c>
      <c r="K149" s="6"/>
      <c r="M149" s="2" t="s">
        <v>477</v>
      </c>
      <c r="N149" s="2" t="n">
        <v>121176</v>
      </c>
      <c r="O149" s="2" t="n">
        <v>120075.5813</v>
      </c>
      <c r="P149" s="2" t="n">
        <v>3600.4375</v>
      </c>
      <c r="Q149" s="2" t="n">
        <f aca="false">100*(N149-O149)/O149</f>
        <v>0.916438369971893</v>
      </c>
      <c r="S149" s="2" t="s">
        <v>477</v>
      </c>
      <c r="T149" s="2" t="n">
        <v>121163</v>
      </c>
      <c r="U149" s="2" t="n">
        <v>120258.8113</v>
      </c>
      <c r="V149" s="2" t="n">
        <v>3612.0896</v>
      </c>
      <c r="W149" s="2" t="n">
        <f aca="false">100*(T149-U149)/U149</f>
        <v>0.75186898176167</v>
      </c>
      <c r="Y149" s="2" t="s">
        <v>477</v>
      </c>
      <c r="Z149" s="2" t="n">
        <v>120970</v>
      </c>
      <c r="AA149" s="2" t="n">
        <v>1190.8493</v>
      </c>
      <c r="AB149" s="2" t="n">
        <f aca="false">100*(Z149-O149)/O149</f>
        <v>0.744879758495905</v>
      </c>
      <c r="AD149" s="2" t="n">
        <f aca="false">100*(Z149-U149)/U149</f>
        <v>0.591381780937326</v>
      </c>
      <c r="AF149" s="2" t="s">
        <v>477</v>
      </c>
      <c r="AG149" s="2" t="n">
        <v>120799</v>
      </c>
      <c r="AH149" s="2" t="n">
        <v>1337.2227</v>
      </c>
      <c r="AI149" s="2" t="n">
        <f aca="false">100*(AG149-$O149)/$O149</f>
        <v>0.602469454794965</v>
      </c>
      <c r="AL149" s="2" t="s">
        <v>477</v>
      </c>
      <c r="AM149" s="2" t="n">
        <v>120799</v>
      </c>
      <c r="AN149" s="2" t="n">
        <v>973.0944</v>
      </c>
      <c r="AO149" s="2" t="n">
        <f aca="false">100*(AM149-$O149)/$O149</f>
        <v>0.602469454794965</v>
      </c>
    </row>
    <row r="150" customFormat="false" ht="13.8" hidden="false" customHeight="false" outlineLevel="0" collapsed="false">
      <c r="A150" s="3" t="s">
        <v>299</v>
      </c>
      <c r="B150" s="2" t="n">
        <v>118833</v>
      </c>
      <c r="C150" s="2" t="n">
        <f aca="false">100*(B150-$O150)/$O150</f>
        <v>0.960405300620676</v>
      </c>
      <c r="E150" s="3" t="s">
        <v>478</v>
      </c>
      <c r="F150" s="2" t="n">
        <v>118464</v>
      </c>
      <c r="G150" s="2" t="n">
        <v>722.635</v>
      </c>
      <c r="H150" s="2" t="n">
        <f aca="false">100*(F150-$U150)/$U150</f>
        <v>0.44908416074928</v>
      </c>
      <c r="I150" s="6"/>
      <c r="J150" s="6" t="n">
        <f aca="false">100*(F150-U150)/U150</f>
        <v>0.44908416074928</v>
      </c>
      <c r="K150" s="6"/>
      <c r="M150" s="2" t="s">
        <v>478</v>
      </c>
      <c r="N150" s="2" t="n">
        <v>119320</v>
      </c>
      <c r="O150" s="2" t="n">
        <v>117702.5782</v>
      </c>
      <c r="P150" s="2" t="n">
        <v>3600.3286</v>
      </c>
      <c r="Q150" s="2" t="n">
        <f aca="false">100*(N150-O150)/O150</f>
        <v>1.37416004367523</v>
      </c>
      <c r="S150" s="2" t="s">
        <v>478</v>
      </c>
      <c r="T150" s="2" t="n">
        <v>118650</v>
      </c>
      <c r="U150" s="2" t="n">
        <v>117934.3754</v>
      </c>
      <c r="V150" s="2" t="n">
        <v>3607.7379</v>
      </c>
      <c r="W150" s="2" t="n">
        <f aca="false">100*(T150-U150)/U150</f>
        <v>0.606798991025983</v>
      </c>
      <c r="Y150" s="2" t="s">
        <v>478</v>
      </c>
      <c r="Z150" s="2" t="n">
        <v>118464</v>
      </c>
      <c r="AA150" s="2" t="n">
        <v>912.7455</v>
      </c>
      <c r="AB150" s="2" t="n">
        <f aca="false">100*(Z150-O150)/O150</f>
        <v>0.646903246848331</v>
      </c>
      <c r="AD150" s="2" t="n">
        <f aca="false">100*(Z150-U150)/U150</f>
        <v>0.44908416074928</v>
      </c>
      <c r="AF150" s="2" t="s">
        <v>478</v>
      </c>
      <c r="AG150" s="2" t="n">
        <v>118464</v>
      </c>
      <c r="AH150" s="2" t="n">
        <v>1125.5998</v>
      </c>
      <c r="AI150" s="2" t="n">
        <f aca="false">100*(AG150-$O150)/$O150</f>
        <v>0.646903246848331</v>
      </c>
      <c r="AL150" s="2" t="s">
        <v>478</v>
      </c>
      <c r="AM150" s="2" t="n">
        <v>118464</v>
      </c>
      <c r="AN150" s="2" t="n">
        <v>765.8271</v>
      </c>
      <c r="AO150" s="2" t="n">
        <f aca="false">100*(AM150-$O150)/$O150</f>
        <v>0.646903246848331</v>
      </c>
    </row>
    <row r="151" customFormat="false" ht="13.8" hidden="false" customHeight="false" outlineLevel="0" collapsed="false">
      <c r="A151" s="3" t="s">
        <v>301</v>
      </c>
      <c r="B151" s="2" t="n">
        <v>124947</v>
      </c>
      <c r="C151" s="2" t="n">
        <f aca="false">100*(B151-$O151)/$O151</f>
        <v>0.669904080645104</v>
      </c>
      <c r="E151" s="3" t="s">
        <v>479</v>
      </c>
      <c r="F151" s="2" t="n">
        <v>124543</v>
      </c>
      <c r="G151" s="2" t="n">
        <v>834.5675</v>
      </c>
      <c r="H151" s="2" t="n">
        <f aca="false">100*(F151-$U151)/$U151</f>
        <v>0.238148078455191</v>
      </c>
      <c r="I151" s="7" t="n">
        <f aca="false">AVERAGE(H142:H151)</f>
        <v>0.522589841766816</v>
      </c>
      <c r="J151" s="6" t="n">
        <f aca="false">100*(F151-U151)/U151</f>
        <v>0.238148078455191</v>
      </c>
      <c r="K151" s="6" t="n">
        <f aca="false">AVERAGE(J142:J151)</f>
        <v>0.522589841766816</v>
      </c>
      <c r="M151" s="2" t="s">
        <v>479</v>
      </c>
      <c r="N151" s="2" t="n">
        <v>124979</v>
      </c>
      <c r="O151" s="2" t="n">
        <v>124115.5449</v>
      </c>
      <c r="P151" s="2" t="n">
        <v>3600.4067</v>
      </c>
      <c r="Q151" s="2" t="n">
        <f aca="false">100*(N151-O151)/O151</f>
        <v>0.695686507838879</v>
      </c>
      <c r="R151" s="6" t="n">
        <f aca="false">AVERAGE(Q142:Q151)</f>
        <v>1.19059759120994</v>
      </c>
      <c r="S151" s="2" t="s">
        <v>479</v>
      </c>
      <c r="T151" s="2" t="n">
        <v>124516</v>
      </c>
      <c r="U151" s="2" t="n">
        <v>124247.1079</v>
      </c>
      <c r="V151" s="2" t="n">
        <v>3610.8392</v>
      </c>
      <c r="W151" s="2" t="n">
        <f aca="false">100*(T151-U151)/U151</f>
        <v>0.216417190343307</v>
      </c>
      <c r="X151" s="6" t="n">
        <f aca="false">AVERAGE(W142:W151)</f>
        <v>0.653685122208982</v>
      </c>
      <c r="Y151" s="2" t="s">
        <v>479</v>
      </c>
      <c r="Z151" s="2" t="n">
        <v>124495</v>
      </c>
      <c r="AA151" s="2" t="n">
        <v>929.4554</v>
      </c>
      <c r="AB151" s="2" t="n">
        <f aca="false">100*(Z151-O151)/O151</f>
        <v>0.305727296533028</v>
      </c>
      <c r="AC151" s="6" t="n">
        <f aca="false">AVERAGE(AB142:AB151)</f>
        <v>0.688905987991715</v>
      </c>
      <c r="AD151" s="2" t="n">
        <f aca="false">100*(Z151-U151)/U151</f>
        <v>0.199515388478509</v>
      </c>
      <c r="AE151" s="6" t="n">
        <f aca="false">AVERAGE(AD142:AD151)</f>
        <v>0.548496556074765</v>
      </c>
      <c r="AF151" s="2" t="s">
        <v>479</v>
      </c>
      <c r="AG151" s="2" t="n">
        <v>124495</v>
      </c>
      <c r="AH151" s="2" t="n">
        <v>1116.8651</v>
      </c>
      <c r="AI151" s="2" t="n">
        <f aca="false">100*(AG151-$O151)/$O151</f>
        <v>0.305727296533028</v>
      </c>
      <c r="AJ151" s="6" t="n">
        <f aca="false">AVERAGE(AI142:AI151)</f>
        <v>0.709236991300745</v>
      </c>
      <c r="AL151" s="2" t="s">
        <v>479</v>
      </c>
      <c r="AM151" s="2" t="n">
        <v>124495</v>
      </c>
      <c r="AN151" s="2" t="n">
        <v>756.9215</v>
      </c>
      <c r="AO151" s="2" t="n">
        <f aca="false">100*(AM151-$O151)/$O151</f>
        <v>0.305727296533028</v>
      </c>
      <c r="AP151" s="6" t="n">
        <f aca="false">AVERAGE(AO142:AO151)</f>
        <v>0.645632449947398</v>
      </c>
    </row>
    <row r="152" customFormat="false" ht="13.8" hidden="false" customHeight="false" outlineLevel="0" collapsed="false">
      <c r="A152" s="3" t="s">
        <v>303</v>
      </c>
      <c r="B152" s="2" t="n">
        <v>71280</v>
      </c>
      <c r="C152" s="2" t="n">
        <f aca="false">100*(B152-$O152)/$O152</f>
        <v>0.00996549918562536</v>
      </c>
      <c r="E152" s="3" t="s">
        <v>480</v>
      </c>
      <c r="F152" s="2" t="n">
        <v>71280</v>
      </c>
      <c r="G152" s="2" t="n">
        <v>582.2434</v>
      </c>
      <c r="H152" s="2" t="n">
        <f aca="false">100*(F152-$U152)/$U152</f>
        <v>0</v>
      </c>
      <c r="I152" s="6"/>
      <c r="J152" s="6" t="n">
        <f aca="false">100*(F152-U152)/U152</f>
        <v>0</v>
      </c>
      <c r="K152" s="6"/>
      <c r="M152" s="2" t="s">
        <v>480</v>
      </c>
      <c r="N152" s="2" t="n">
        <v>71280</v>
      </c>
      <c r="O152" s="2" t="n">
        <v>71272.8973</v>
      </c>
      <c r="P152" s="2" t="n">
        <v>510.3717</v>
      </c>
      <c r="Q152" s="2" t="n">
        <f aca="false">100*(N152-O152)/O152</f>
        <v>0.00996549918562536</v>
      </c>
      <c r="S152" s="2" t="s">
        <v>480</v>
      </c>
      <c r="T152" s="2" t="n">
        <v>71280</v>
      </c>
      <c r="U152" s="2" t="n">
        <v>71280</v>
      </c>
      <c r="V152" s="2" t="n">
        <v>1513.6738</v>
      </c>
      <c r="W152" s="2" t="n">
        <f aca="false">100*(T152-U152)/U152</f>
        <v>0</v>
      </c>
      <c r="Y152" s="2" t="s">
        <v>480</v>
      </c>
      <c r="Z152" s="2" t="n">
        <v>71280</v>
      </c>
      <c r="AA152" s="2" t="n">
        <v>510.8374</v>
      </c>
      <c r="AB152" s="2" t="n">
        <f aca="false">100*(Z152-O152)/O152</f>
        <v>0.00996549918562536</v>
      </c>
      <c r="AD152" s="2" t="n">
        <f aca="false">100*(Z152-U152)/U152</f>
        <v>0</v>
      </c>
      <c r="AF152" s="2" t="s">
        <v>480</v>
      </c>
      <c r="AG152" s="2" t="n">
        <v>71280</v>
      </c>
      <c r="AH152" s="2" t="n">
        <v>784.4985</v>
      </c>
      <c r="AI152" s="2" t="n">
        <f aca="false">100*(AG152-$O152)/$O152</f>
        <v>0.00996549918562536</v>
      </c>
      <c r="AL152" s="2" t="s">
        <v>480</v>
      </c>
      <c r="AM152" s="2" t="n">
        <v>71280</v>
      </c>
      <c r="AN152" s="2" t="n">
        <v>540.6087</v>
      </c>
      <c r="AO152" s="2" t="n">
        <f aca="false">100*(AM152-$O152)/$O152</f>
        <v>0.00996549918562536</v>
      </c>
    </row>
    <row r="153" customFormat="false" ht="13.8" hidden="false" customHeight="false" outlineLevel="0" collapsed="false">
      <c r="A153" s="3" t="s">
        <v>305</v>
      </c>
      <c r="B153" s="2" t="n">
        <v>70113</v>
      </c>
      <c r="C153" s="2" t="n">
        <f aca="false">100*(B153-$O153)/$O153</f>
        <v>-0.00814989269641662</v>
      </c>
      <c r="E153" s="3" t="s">
        <v>481</v>
      </c>
      <c r="F153" s="2" t="n">
        <v>70125</v>
      </c>
      <c r="G153" s="2" t="n">
        <v>311.1012</v>
      </c>
      <c r="H153" s="2" t="n">
        <f aca="false">100*(F153-$U153)/$U153</f>
        <v>0.00427825789338581</v>
      </c>
      <c r="I153" s="6"/>
      <c r="J153" s="6" t="n">
        <f aca="false">100*(F153-U153)/U153</f>
        <v>0.00427825789338581</v>
      </c>
      <c r="K153" s="6"/>
      <c r="M153" s="2" t="s">
        <v>481</v>
      </c>
      <c r="N153" s="2" t="n">
        <v>70125</v>
      </c>
      <c r="O153" s="2" t="n">
        <v>70118.7146</v>
      </c>
      <c r="P153" s="2" t="n">
        <v>1109.2949</v>
      </c>
      <c r="Q153" s="2" t="n">
        <f aca="false">100*(N153-O153)/O153</f>
        <v>0.00896394070520138</v>
      </c>
      <c r="S153" s="2" t="s">
        <v>481</v>
      </c>
      <c r="T153" s="2" t="n">
        <v>70122</v>
      </c>
      <c r="U153" s="2" t="n">
        <v>70122</v>
      </c>
      <c r="V153" s="2" t="n">
        <v>880.9247</v>
      </c>
      <c r="W153" s="2" t="n">
        <f aca="false">100*(T153-U153)/U153</f>
        <v>0</v>
      </c>
      <c r="Y153" s="2" t="s">
        <v>481</v>
      </c>
      <c r="Z153" s="2" t="n">
        <v>70122</v>
      </c>
      <c r="AA153" s="2" t="n">
        <v>316.3495</v>
      </c>
      <c r="AB153" s="2" t="n">
        <f aca="false">100*(Z153-O153)/O153</f>
        <v>0.00468548235479689</v>
      </c>
      <c r="AD153" s="2" t="n">
        <f aca="false">100*(Z153-U153)/U153</f>
        <v>0</v>
      </c>
      <c r="AF153" s="2" t="s">
        <v>481</v>
      </c>
      <c r="AG153" s="2" t="n">
        <v>70122</v>
      </c>
      <c r="AH153" s="2" t="n">
        <v>620.8844</v>
      </c>
      <c r="AI153" s="2" t="n">
        <f aca="false">100*(AG153-$O153)/$O153</f>
        <v>0.00468548235479689</v>
      </c>
      <c r="AL153" s="2" t="s">
        <v>481</v>
      </c>
      <c r="AM153" s="2" t="n">
        <v>70122</v>
      </c>
      <c r="AN153" s="2" t="n">
        <v>389.8149</v>
      </c>
      <c r="AO153" s="2" t="n">
        <f aca="false">100*(AM153-$O153)/$O153</f>
        <v>0.00468548235479689</v>
      </c>
    </row>
    <row r="154" customFormat="false" ht="13.8" hidden="false" customHeight="false" outlineLevel="0" collapsed="false">
      <c r="A154" s="3" t="s">
        <v>307</v>
      </c>
      <c r="B154" s="2" t="n">
        <v>75391</v>
      </c>
      <c r="C154" s="2" t="n">
        <f aca="false">100*(B154-$O154)/$O154</f>
        <v>0.012653110936822</v>
      </c>
      <c r="E154" s="3" t="s">
        <v>482</v>
      </c>
      <c r="F154" s="2" t="n">
        <v>75404</v>
      </c>
      <c r="G154" s="2" t="n">
        <v>483.6825</v>
      </c>
      <c r="H154" s="2" t="n">
        <f aca="false">100*(F154-$U154)/$U154</f>
        <v>0.0210411087553435</v>
      </c>
      <c r="I154" s="6"/>
      <c r="J154" s="6" t="n">
        <f aca="false">100*(F154-U154)/U154</f>
        <v>0.0210411087553435</v>
      </c>
      <c r="K154" s="6"/>
      <c r="M154" s="2" t="s">
        <v>482</v>
      </c>
      <c r="N154" s="2" t="n">
        <v>75389</v>
      </c>
      <c r="O154" s="2" t="n">
        <v>75381.4619</v>
      </c>
      <c r="P154" s="2" t="n">
        <v>2407.4548</v>
      </c>
      <c r="Q154" s="2" t="n">
        <f aca="false">100*(N154-O154)/O154</f>
        <v>0.00999993872499469</v>
      </c>
      <c r="S154" s="2" t="s">
        <v>482</v>
      </c>
      <c r="T154" s="2" t="n">
        <v>75389</v>
      </c>
      <c r="U154" s="2" t="n">
        <v>75388.1375</v>
      </c>
      <c r="V154" s="2" t="n">
        <v>3602.8059</v>
      </c>
      <c r="W154" s="2" t="n">
        <f aca="false">100*(T154-U154)/U154</f>
        <v>0.00114407919946677</v>
      </c>
      <c r="Y154" s="2" t="s">
        <v>482</v>
      </c>
      <c r="Z154" s="2" t="n">
        <v>75392</v>
      </c>
      <c r="AA154" s="2" t="n">
        <v>543.442</v>
      </c>
      <c r="AB154" s="2" t="n">
        <f aca="false">100*(Z154-O154)/O154</f>
        <v>0.0139796970427357</v>
      </c>
      <c r="AD154" s="2" t="n">
        <f aca="false">100*(Z154-U154)/U154</f>
        <v>0.00512348511064212</v>
      </c>
      <c r="AF154" s="2" t="s">
        <v>482</v>
      </c>
      <c r="AG154" s="2" t="n">
        <v>75397</v>
      </c>
      <c r="AH154" s="2" t="n">
        <v>833.585</v>
      </c>
      <c r="AI154" s="2" t="n">
        <f aca="false">100*(AG154-$O154)/$O154</f>
        <v>0.020612627572304</v>
      </c>
      <c r="AL154" s="2" t="s">
        <v>482</v>
      </c>
      <c r="AM154" s="2" t="n">
        <v>75397</v>
      </c>
      <c r="AN154" s="2" t="n">
        <v>578.713</v>
      </c>
      <c r="AO154" s="2" t="n">
        <f aca="false">100*(AM154-$O154)/$O154</f>
        <v>0.020612627572304</v>
      </c>
    </row>
    <row r="155" customFormat="false" ht="13.8" hidden="false" customHeight="false" outlineLevel="0" collapsed="false">
      <c r="A155" s="3" t="s">
        <v>309</v>
      </c>
      <c r="B155" s="2" t="n">
        <v>73927</v>
      </c>
      <c r="C155" s="2" t="n">
        <f aca="false">100*(B155-$O155)/$O155</f>
        <v>0.0099943706144021</v>
      </c>
      <c r="E155" s="3" t="s">
        <v>483</v>
      </c>
      <c r="F155" s="2" t="n">
        <v>73938</v>
      </c>
      <c r="G155" s="2" t="n">
        <v>518.8443</v>
      </c>
      <c r="H155" s="2" t="n">
        <f aca="false">100*(F155-$U155)/$U155</f>
        <v>0.0148795433332882</v>
      </c>
      <c r="I155" s="6"/>
      <c r="J155" s="6" t="n">
        <f aca="false">100*(F155-U155)/U155</f>
        <v>0.0148795433332882</v>
      </c>
      <c r="K155" s="6"/>
      <c r="M155" s="2" t="s">
        <v>483</v>
      </c>
      <c r="N155" s="2" t="n">
        <v>73927</v>
      </c>
      <c r="O155" s="2" t="n">
        <v>73919.6122</v>
      </c>
      <c r="P155" s="2" t="n">
        <v>1783.0459</v>
      </c>
      <c r="Q155" s="2" t="n">
        <f aca="false">100*(N155-O155)/O155</f>
        <v>0.0099943706144021</v>
      </c>
      <c r="S155" s="2" t="s">
        <v>483</v>
      </c>
      <c r="T155" s="2" t="n">
        <v>73927</v>
      </c>
      <c r="U155" s="2" t="n">
        <v>73927</v>
      </c>
      <c r="V155" s="2" t="n">
        <v>2426.7315</v>
      </c>
      <c r="W155" s="2" t="n">
        <f aca="false">100*(T155-U155)/U155</f>
        <v>0</v>
      </c>
      <c r="Y155" s="2" t="s">
        <v>483</v>
      </c>
      <c r="Z155" s="2" t="n">
        <v>73947</v>
      </c>
      <c r="AA155" s="2" t="n">
        <v>507.0146</v>
      </c>
      <c r="AB155" s="2" t="n">
        <f aca="false">100*(Z155-O155)/O155</f>
        <v>0.0370507896143925</v>
      </c>
      <c r="AD155" s="2" t="n">
        <f aca="false">100*(Z155-U155)/U155</f>
        <v>0.0270537151514332</v>
      </c>
      <c r="AF155" s="2" t="s">
        <v>483</v>
      </c>
      <c r="AG155" s="2" t="n">
        <v>73950</v>
      </c>
      <c r="AH155" s="2" t="n">
        <v>734.6119</v>
      </c>
      <c r="AI155" s="2" t="n">
        <f aca="false">100*(AG155-$O155)/$O155</f>
        <v>0.041109252464391</v>
      </c>
      <c r="AL155" s="2" t="s">
        <v>483</v>
      </c>
      <c r="AM155" s="2" t="n">
        <v>73953</v>
      </c>
      <c r="AN155" s="2" t="n">
        <v>425.9332</v>
      </c>
      <c r="AO155" s="2" t="n">
        <f aca="false">100*(AM155-$O155)/$O155</f>
        <v>0.0451677153143896</v>
      </c>
    </row>
    <row r="156" customFormat="false" ht="13.8" hidden="false" customHeight="false" outlineLevel="0" collapsed="false">
      <c r="A156" s="3" t="s">
        <v>311</v>
      </c>
      <c r="B156" s="2" t="n">
        <v>67457</v>
      </c>
      <c r="C156" s="2" t="n">
        <f aca="false">100*(B156-$O156)/$O156</f>
        <v>0.00851029324809621</v>
      </c>
      <c r="E156" s="3" t="s">
        <v>484</v>
      </c>
      <c r="F156" s="2" t="n">
        <v>67457</v>
      </c>
      <c r="G156" s="2" t="n">
        <v>330.5385</v>
      </c>
      <c r="H156" s="2" t="n">
        <f aca="false">100*(F156-$U156)/$U156</f>
        <v>0</v>
      </c>
      <c r="I156" s="6"/>
      <c r="J156" s="6" t="n">
        <f aca="false">100*(F156-U156)/U156</f>
        <v>0</v>
      </c>
      <c r="K156" s="6"/>
      <c r="M156" s="2" t="s">
        <v>484</v>
      </c>
      <c r="N156" s="2" t="n">
        <v>67458</v>
      </c>
      <c r="O156" s="2" t="n">
        <v>67451.2597</v>
      </c>
      <c r="P156" s="2" t="n">
        <v>1233.8928</v>
      </c>
      <c r="Q156" s="2" t="n">
        <f aca="false">100*(N156-O156)/O156</f>
        <v>0.00999284524852979</v>
      </c>
      <c r="S156" s="2" t="s">
        <v>484</v>
      </c>
      <c r="T156" s="2" t="n">
        <v>67457</v>
      </c>
      <c r="U156" s="2" t="n">
        <v>67457</v>
      </c>
      <c r="V156" s="2" t="n">
        <v>1501.2843</v>
      </c>
      <c r="W156" s="2" t="n">
        <f aca="false">100*(T156-U156)/U156</f>
        <v>0</v>
      </c>
      <c r="Y156" s="2" t="s">
        <v>484</v>
      </c>
      <c r="Z156" s="2" t="n">
        <v>67457</v>
      </c>
      <c r="AA156" s="2" t="n">
        <v>416.7108</v>
      </c>
      <c r="AB156" s="2" t="n">
        <f aca="false">100*(Z156-O156)/O156</f>
        <v>0.00851029324809621</v>
      </c>
      <c r="AD156" s="2" t="n">
        <f aca="false">100*(Z156-U156)/U156</f>
        <v>0</v>
      </c>
      <c r="AF156" s="2" t="s">
        <v>484</v>
      </c>
      <c r="AG156" s="2" t="n">
        <v>67462</v>
      </c>
      <c r="AH156" s="2" t="n">
        <v>722.0329</v>
      </c>
      <c r="AI156" s="2" t="n">
        <f aca="false">100*(AG156-$O156)/$O156</f>
        <v>0.0159230532502641</v>
      </c>
      <c r="AL156" s="2" t="s">
        <v>484</v>
      </c>
      <c r="AM156" s="2" t="n">
        <v>67462</v>
      </c>
      <c r="AN156" s="2" t="n">
        <v>432.4215</v>
      </c>
      <c r="AO156" s="2" t="n">
        <f aca="false">100*(AM156-$O156)/$O156</f>
        <v>0.0159230532502641</v>
      </c>
    </row>
    <row r="157" customFormat="false" ht="13.8" hidden="false" customHeight="false" outlineLevel="0" collapsed="false">
      <c r="A157" s="3" t="s">
        <v>313</v>
      </c>
      <c r="B157" s="2" t="n">
        <v>74819</v>
      </c>
      <c r="C157" s="2" t="n">
        <f aca="false">100*(B157-$O157)/$O157</f>
        <v>0.00998977076078348</v>
      </c>
      <c r="E157" s="3" t="s">
        <v>485</v>
      </c>
      <c r="F157" s="2" t="n">
        <v>74820</v>
      </c>
      <c r="G157" s="2" t="n">
        <v>400.482</v>
      </c>
      <c r="H157" s="2" t="n">
        <f aca="false">100*(F157-$U157)/$U157</f>
        <v>0.00133655889546773</v>
      </c>
      <c r="I157" s="6"/>
      <c r="J157" s="6" t="n">
        <f aca="false">100*(F157-U157)/U157</f>
        <v>0.00133655889546773</v>
      </c>
      <c r="K157" s="6"/>
      <c r="M157" s="2" t="s">
        <v>485</v>
      </c>
      <c r="N157" s="2" t="n">
        <v>74819</v>
      </c>
      <c r="O157" s="2" t="n">
        <v>74811.5265</v>
      </c>
      <c r="P157" s="2" t="n">
        <v>444.8717</v>
      </c>
      <c r="Q157" s="2" t="n">
        <f aca="false">100*(N157-O157)/O157</f>
        <v>0.00998977076078348</v>
      </c>
      <c r="S157" s="2" t="s">
        <v>485</v>
      </c>
      <c r="T157" s="2" t="n">
        <v>74819</v>
      </c>
      <c r="U157" s="2" t="n">
        <v>74819</v>
      </c>
      <c r="V157" s="2" t="n">
        <v>503.9948</v>
      </c>
      <c r="W157" s="2" t="n">
        <f aca="false">100*(T157-U157)/U157</f>
        <v>0</v>
      </c>
      <c r="Y157" s="2" t="s">
        <v>485</v>
      </c>
      <c r="Z157" s="2" t="n">
        <v>74820</v>
      </c>
      <c r="AA157" s="2" t="n">
        <v>423.5056</v>
      </c>
      <c r="AB157" s="2" t="n">
        <f aca="false">100*(Z157-O157)/O157</f>
        <v>0.0113264631754209</v>
      </c>
      <c r="AD157" s="2" t="n">
        <f aca="false">100*(Z157-U157)/U157</f>
        <v>0.00133655889546773</v>
      </c>
      <c r="AF157" s="2" t="s">
        <v>485</v>
      </c>
      <c r="AG157" s="2" t="n">
        <v>74820</v>
      </c>
      <c r="AH157" s="2" t="n">
        <v>659.5646</v>
      </c>
      <c r="AI157" s="2" t="n">
        <f aca="false">100*(AG157-$O157)/$O157</f>
        <v>0.0113264631754209</v>
      </c>
      <c r="AL157" s="2" t="s">
        <v>485</v>
      </c>
      <c r="AM157" s="2" t="n">
        <v>74819</v>
      </c>
      <c r="AN157" s="2" t="n">
        <v>385.3378</v>
      </c>
      <c r="AO157" s="2" t="n">
        <f aca="false">100*(AM157-$O157)/$O157</f>
        <v>0.00998977076078348</v>
      </c>
    </row>
    <row r="158" customFormat="false" ht="13.8" hidden="false" customHeight="false" outlineLevel="0" collapsed="false">
      <c r="A158" s="3" t="s">
        <v>315</v>
      </c>
      <c r="B158" s="2" t="n">
        <v>75001</v>
      </c>
      <c r="C158" s="2" t="n">
        <f aca="false">100*(B158-$O158)/$O158</f>
        <v>0.00786104643954849</v>
      </c>
      <c r="E158" s="3" t="s">
        <v>486</v>
      </c>
      <c r="F158" s="2" t="n">
        <v>75002</v>
      </c>
      <c r="G158" s="2" t="n">
        <v>162.1891</v>
      </c>
      <c r="H158" s="2" t="n">
        <f aca="false">100*(F158-$U158)/$U158</f>
        <v>0.00133331555579259</v>
      </c>
      <c r="I158" s="6"/>
      <c r="J158" s="6" t="n">
        <f aca="false">100*(F158-U158)/U158</f>
        <v>0.00133331555579259</v>
      </c>
      <c r="K158" s="6"/>
      <c r="M158" s="2" t="s">
        <v>486</v>
      </c>
      <c r="N158" s="2" t="n">
        <v>75002</v>
      </c>
      <c r="O158" s="2" t="n">
        <v>74995.1046</v>
      </c>
      <c r="P158" s="2" t="n">
        <v>235.9746</v>
      </c>
      <c r="Q158" s="2" t="n">
        <f aca="false">100*(N158-O158)/O158</f>
        <v>0.00919446680789611</v>
      </c>
      <c r="S158" s="2" t="s">
        <v>486</v>
      </c>
      <c r="T158" s="2" t="n">
        <v>75001</v>
      </c>
      <c r="U158" s="2" t="n">
        <v>75001</v>
      </c>
      <c r="V158" s="2" t="n">
        <v>487.3747</v>
      </c>
      <c r="W158" s="2" t="n">
        <f aca="false">100*(T158-U158)/U158</f>
        <v>0</v>
      </c>
      <c r="Y158" s="2" t="s">
        <v>486</v>
      </c>
      <c r="Z158" s="2" t="n">
        <v>75002</v>
      </c>
      <c r="AA158" s="2" t="n">
        <v>178.72</v>
      </c>
      <c r="AB158" s="2" t="n">
        <f aca="false">100*(Z158-O158)/O158</f>
        <v>0.00919446680789611</v>
      </c>
      <c r="AD158" s="2" t="n">
        <f aca="false">100*(Z158-U158)/U158</f>
        <v>0.00133331555579259</v>
      </c>
      <c r="AF158" s="2" t="s">
        <v>486</v>
      </c>
      <c r="AG158" s="2" t="n">
        <v>75001</v>
      </c>
      <c r="AH158" s="2" t="n">
        <v>456.0769</v>
      </c>
      <c r="AI158" s="2" t="n">
        <f aca="false">100*(AG158-$O158)/$O158</f>
        <v>0.00786104643954849</v>
      </c>
      <c r="AL158" s="2" t="s">
        <v>486</v>
      </c>
      <c r="AM158" s="2" t="n">
        <v>75002</v>
      </c>
      <c r="AN158" s="2" t="n">
        <v>275.766</v>
      </c>
      <c r="AO158" s="2" t="n">
        <f aca="false">100*(AM158-$O158)/$O158</f>
        <v>0.00919446680789611</v>
      </c>
    </row>
    <row r="159" customFormat="false" ht="13.8" hidden="false" customHeight="false" outlineLevel="0" collapsed="false">
      <c r="A159" s="3" t="s">
        <v>317</v>
      </c>
      <c r="B159" s="2" t="n">
        <v>74820</v>
      </c>
      <c r="C159" s="2" t="n">
        <f aca="false">100*(B159-$O159)/$O159</f>
        <v>0.00982721531257516</v>
      </c>
      <c r="E159" s="3" t="s">
        <v>487</v>
      </c>
      <c r="F159" s="2" t="n">
        <v>74820</v>
      </c>
      <c r="G159" s="2" t="n">
        <v>268.9553</v>
      </c>
      <c r="H159" s="2" t="n">
        <f aca="false">100*(F159-$U159)/$U159</f>
        <v>0</v>
      </c>
      <c r="I159" s="6"/>
      <c r="J159" s="6" t="n">
        <f aca="false">100*(F159-U159)/U159</f>
        <v>0</v>
      </c>
      <c r="K159" s="6"/>
      <c r="M159" s="2" t="s">
        <v>487</v>
      </c>
      <c r="N159" s="2" t="n">
        <v>74820</v>
      </c>
      <c r="O159" s="2" t="n">
        <v>74812.648</v>
      </c>
      <c r="P159" s="2" t="n">
        <v>304.0973</v>
      </c>
      <c r="Q159" s="2" t="n">
        <f aca="false">100*(N159-O159)/O159</f>
        <v>0.00982721531257516</v>
      </c>
      <c r="S159" s="2" t="s">
        <v>487</v>
      </c>
      <c r="T159" s="2" t="n">
        <v>74820</v>
      </c>
      <c r="U159" s="2" t="n">
        <v>74820</v>
      </c>
      <c r="V159" s="2" t="n">
        <v>520.721</v>
      </c>
      <c r="W159" s="2" t="n">
        <f aca="false">100*(T159-U159)/U159</f>
        <v>0</v>
      </c>
      <c r="Y159" s="2" t="s">
        <v>487</v>
      </c>
      <c r="Z159" s="2" t="n">
        <v>74820</v>
      </c>
      <c r="AA159" s="2" t="n">
        <v>235.3344</v>
      </c>
      <c r="AB159" s="2" t="n">
        <f aca="false">100*(Z159-O159)/O159</f>
        <v>0.00982721531257516</v>
      </c>
      <c r="AD159" s="2" t="n">
        <f aca="false">100*(Z159-U159)/U159</f>
        <v>0</v>
      </c>
      <c r="AF159" s="2" t="s">
        <v>487</v>
      </c>
      <c r="AG159" s="2" t="n">
        <v>74829</v>
      </c>
      <c r="AH159" s="2" t="n">
        <v>668.6395</v>
      </c>
      <c r="AI159" s="2" t="n">
        <f aca="false">100*(AG159-$O159)/$O159</f>
        <v>0.0218572667017467</v>
      </c>
      <c r="AL159" s="2" t="s">
        <v>487</v>
      </c>
      <c r="AM159" s="2" t="n">
        <v>74829</v>
      </c>
      <c r="AN159" s="2" t="n">
        <v>374.8389</v>
      </c>
      <c r="AO159" s="2" t="n">
        <f aca="false">100*(AM159-$O159)/$O159</f>
        <v>0.0218572667017467</v>
      </c>
    </row>
    <row r="160" customFormat="false" ht="13.8" hidden="false" customHeight="false" outlineLevel="0" collapsed="false">
      <c r="A160" s="3" t="s">
        <v>319</v>
      </c>
      <c r="B160" s="2" t="n">
        <v>72484</v>
      </c>
      <c r="C160" s="2" t="n">
        <f aca="false">100*(B160-$O160)/$O160</f>
        <v>0.0477181127798758</v>
      </c>
      <c r="E160" s="3" t="s">
        <v>488</v>
      </c>
      <c r="F160" s="2" t="n">
        <v>72484</v>
      </c>
      <c r="G160" s="2" t="n">
        <v>532.5363</v>
      </c>
      <c r="H160" s="2" t="n">
        <f aca="false">100*(F160-$U160)/$U160</f>
        <v>0</v>
      </c>
      <c r="I160" s="6"/>
      <c r="J160" s="6" t="n">
        <f aca="false">100*(F160-U160)/U160</f>
        <v>0</v>
      </c>
      <c r="K160" s="6"/>
      <c r="M160" s="2" t="s">
        <v>488</v>
      </c>
      <c r="N160" s="2" t="n">
        <v>72484</v>
      </c>
      <c r="O160" s="2" t="n">
        <v>72449.4285</v>
      </c>
      <c r="P160" s="2" t="n">
        <v>3601.3056</v>
      </c>
      <c r="Q160" s="2" t="n">
        <f aca="false">100*(N160-O160)/O160</f>
        <v>0.0477181127798758</v>
      </c>
      <c r="S160" s="2" t="s">
        <v>488</v>
      </c>
      <c r="T160" s="2" t="n">
        <v>72484</v>
      </c>
      <c r="U160" s="2" t="n">
        <v>72484</v>
      </c>
      <c r="V160" s="2" t="n">
        <v>2969.9276</v>
      </c>
      <c r="W160" s="2" t="n">
        <f aca="false">100*(T160-U160)/U160</f>
        <v>0</v>
      </c>
      <c r="Y160" s="2" t="s">
        <v>488</v>
      </c>
      <c r="Z160" s="2" t="n">
        <v>72484</v>
      </c>
      <c r="AA160" s="2" t="n">
        <v>555.7263</v>
      </c>
      <c r="AB160" s="2" t="n">
        <f aca="false">100*(Z160-O160)/O160</f>
        <v>0.0477181127798758</v>
      </c>
      <c r="AD160" s="2" t="n">
        <f aca="false">100*(Z160-U160)/U160</f>
        <v>0</v>
      </c>
      <c r="AF160" s="2" t="s">
        <v>488</v>
      </c>
      <c r="AG160" s="2" t="n">
        <v>72492</v>
      </c>
      <c r="AH160" s="2" t="n">
        <v>795.8899</v>
      </c>
      <c r="AI160" s="2" t="n">
        <f aca="false">100*(AG160-$O160)/$O160</f>
        <v>0.0587602978814463</v>
      </c>
      <c r="AL160" s="2" t="s">
        <v>488</v>
      </c>
      <c r="AM160" s="2" t="n">
        <v>72492</v>
      </c>
      <c r="AN160" s="2" t="n">
        <v>427.3687</v>
      </c>
      <c r="AO160" s="2" t="n">
        <f aca="false">100*(AM160-$O160)/$O160</f>
        <v>0.0587602978814463</v>
      </c>
    </row>
    <row r="161" customFormat="false" ht="13.8" hidden="false" customHeight="false" outlineLevel="0" collapsed="false">
      <c r="A161" s="3" t="s">
        <v>321</v>
      </c>
      <c r="B161" s="2" t="n">
        <v>73640</v>
      </c>
      <c r="C161" s="2" t="n">
        <f aca="false">100*(B161-$O161)/$O161</f>
        <v>0.00728081251890295</v>
      </c>
      <c r="E161" s="3" t="s">
        <v>489</v>
      </c>
      <c r="F161" s="2" t="n">
        <v>73640</v>
      </c>
      <c r="G161" s="2" t="n">
        <v>398.9173</v>
      </c>
      <c r="H161" s="2" t="n">
        <f aca="false">100*(F161-$U161)/$U161</f>
        <v>0</v>
      </c>
      <c r="I161" s="6" t="n">
        <f aca="false">AVERAGE(H152:H161)</f>
        <v>0.00428687844332779</v>
      </c>
      <c r="J161" s="6" t="n">
        <f aca="false">100*(F161-U161)/U161</f>
        <v>0</v>
      </c>
      <c r="K161" s="6" t="n">
        <f aca="false">AVERAGE(J152:J161)</f>
        <v>0.00428687844332779</v>
      </c>
      <c r="M161" s="2" t="s">
        <v>489</v>
      </c>
      <c r="N161" s="2" t="n">
        <v>73642</v>
      </c>
      <c r="O161" s="2" t="n">
        <v>73634.6388</v>
      </c>
      <c r="P161" s="2" t="n">
        <v>787.7765</v>
      </c>
      <c r="Q161" s="2" t="n">
        <f aca="false">100*(N161-O161)/O161</f>
        <v>0.00999692552304524</v>
      </c>
      <c r="R161" s="7" t="n">
        <f aca="false">AVERAGE(Q152:Q161)</f>
        <v>0.0135643085662929</v>
      </c>
      <c r="S161" s="2" t="s">
        <v>489</v>
      </c>
      <c r="T161" s="2" t="n">
        <v>73640</v>
      </c>
      <c r="U161" s="2" t="n">
        <v>73640</v>
      </c>
      <c r="V161" s="2" t="n">
        <v>498.0238</v>
      </c>
      <c r="W161" s="2" t="n">
        <f aca="false">100*(T161-U161)/U161</f>
        <v>0</v>
      </c>
      <c r="X161" s="6" t="n">
        <f aca="false">AVERAGE(W152:W161)</f>
        <v>0.000114407919946677</v>
      </c>
      <c r="Y161" s="2" t="s">
        <v>489</v>
      </c>
      <c r="Z161" s="2" t="n">
        <v>73640</v>
      </c>
      <c r="AA161" s="2" t="n">
        <v>425.8525</v>
      </c>
      <c r="AB161" s="2" t="n">
        <f aca="false">100*(Z161-O161)/O161</f>
        <v>0.00728081251890295</v>
      </c>
      <c r="AC161" s="6" t="n">
        <f aca="false">AVERAGE(AB152:AB161)</f>
        <v>0.0159538832040318</v>
      </c>
      <c r="AD161" s="2" t="n">
        <f aca="false">100*(Z161-U161)/U161</f>
        <v>0</v>
      </c>
      <c r="AE161" s="6" t="n">
        <f aca="false">AVERAGE(AD152:AD161)</f>
        <v>0.00348470747133356</v>
      </c>
      <c r="AF161" s="2" t="s">
        <v>489</v>
      </c>
      <c r="AG161" s="2" t="n">
        <v>73640</v>
      </c>
      <c r="AH161" s="2" t="n">
        <v>722.0672</v>
      </c>
      <c r="AI161" s="2" t="n">
        <f aca="false">100*(AG161-$O161)/$O161</f>
        <v>0.00728081251890295</v>
      </c>
      <c r="AJ161" s="6" t="n">
        <f aca="false">AVERAGE(AI152:AI161)</f>
        <v>0.0199381801544447</v>
      </c>
      <c r="AL161" s="2" t="s">
        <v>489</v>
      </c>
      <c r="AM161" s="2" t="n">
        <v>73640</v>
      </c>
      <c r="AN161" s="2" t="n">
        <v>465.9263</v>
      </c>
      <c r="AO161" s="2" t="n">
        <f aca="false">100*(AM161-$O161)/$O161</f>
        <v>0.00728081251890295</v>
      </c>
      <c r="AP161" s="6" t="n">
        <f aca="false">AVERAGE(AO152:AO161)</f>
        <v>0.0203436992348155</v>
      </c>
    </row>
    <row r="162" customFormat="false" ht="13.8" hidden="false" customHeight="false" outlineLevel="0" collapsed="false">
      <c r="B162" s="6" t="n">
        <f aca="false">AVERAGE(B2:B161)</f>
        <v>63303.7125</v>
      </c>
      <c r="C162" s="6" t="n">
        <f aca="false">AVERAGE(C2:C161)</f>
        <v>0.178136422204228</v>
      </c>
      <c r="F162" s="6" t="n">
        <f aca="false">AVERAGE(F2:F161)</f>
        <v>63267.75</v>
      </c>
      <c r="G162" s="6" t="n">
        <f aca="false">AVERAGE(G2:G161)</f>
        <v>357.958705</v>
      </c>
      <c r="H162" s="6" t="n">
        <f aca="false">AVERAGE(H2:H161)</f>
        <v>0.130657746096573</v>
      </c>
      <c r="I162" s="6"/>
      <c r="J162" s="6"/>
      <c r="K162" s="6"/>
      <c r="N162" s="2" t="n">
        <f aca="false">AVERAGE(N2:N161)</f>
        <v>63307.575</v>
      </c>
      <c r="O162" s="2" t="n">
        <f aca="false">AVERAGE(O2:O161)</f>
        <v>63128.795781875</v>
      </c>
      <c r="P162" s="2" t="n">
        <f aca="false">AVERAGE(P2:P161)</f>
        <v>1328.740865625</v>
      </c>
      <c r="Q162" s="2" t="n">
        <f aca="false">AVERAGE(Q2:Q161)</f>
        <v>0.17854020028982</v>
      </c>
      <c r="V162" s="2" t="n">
        <f aca="false">AVERAGE(V2:V161)</f>
        <v>1329.34596</v>
      </c>
      <c r="W162" s="8" t="n">
        <f aca="false">AVERAGE(W2:W161)</f>
        <v>0.128652019543086</v>
      </c>
      <c r="Z162" s="2" t="n">
        <f aca="false">AVERAGE(Z2:Z161)</f>
        <v>63266.5375</v>
      </c>
      <c r="AA162" s="2" t="n">
        <f aca="false">AVERAGE(AA2:AA161)</f>
        <v>361.124961875</v>
      </c>
      <c r="AB162" s="2" t="n">
        <f aca="false">AVERAGE(AB2:AB161)</f>
        <v>0.148140797226101</v>
      </c>
      <c r="AH162" s="2" t="n">
        <f aca="false">AVERAGE(AH2:AH161)</f>
        <v>519.090074375</v>
      </c>
      <c r="AN162" s="2" t="n">
        <f aca="false">AVERAGE(AN2:AN161)</f>
        <v>381.351935625</v>
      </c>
    </row>
    <row r="165" customFormat="false" ht="13.8" hidden="false" customHeight="false" outlineLevel="0" collapsed="false">
      <c r="B165" s="2" t="s">
        <v>324</v>
      </c>
      <c r="C165" s="2" t="s">
        <v>490</v>
      </c>
      <c r="I165" s="9"/>
      <c r="J165" s="10" t="s">
        <v>491</v>
      </c>
      <c r="K165" s="9" t="s">
        <v>492</v>
      </c>
      <c r="L165" s="9"/>
      <c r="M165" s="9"/>
    </row>
    <row r="166" customFormat="false" ht="13.8" hidden="false" customHeight="false" outlineLevel="0" collapsed="false">
      <c r="B166" s="5" t="s">
        <v>323</v>
      </c>
      <c r="C166" s="5"/>
      <c r="I166" s="9" t="s">
        <v>490</v>
      </c>
      <c r="J166" s="10" t="s">
        <v>324</v>
      </c>
      <c r="K166" s="11" t="s">
        <v>324</v>
      </c>
      <c r="L166" s="9" t="s">
        <v>329</v>
      </c>
      <c r="M166" s="9" t="s">
        <v>328</v>
      </c>
    </row>
    <row r="167" customFormat="false" ht="13.8" hidden="false" customHeight="false" outlineLevel="0" collapsed="false">
      <c r="B167" s="2" t="n">
        <v>0.0245591483437934</v>
      </c>
      <c r="C167" s="2" t="n">
        <v>0.00952725182331921</v>
      </c>
      <c r="I167" s="12" t="n">
        <f aca="false">X11</f>
        <v>0</v>
      </c>
      <c r="J167" s="13" t="n">
        <f aca="false">K11</f>
        <v>0.0150304653230416</v>
      </c>
      <c r="K167" s="13" t="n">
        <f aca="false">AE11</f>
        <v>0.0239025890752068</v>
      </c>
      <c r="L167" s="13" t="n">
        <f aca="false">AP11</f>
        <v>0.0275991007538895</v>
      </c>
      <c r="M167" s="13" t="n">
        <f aca="false">AJ11</f>
        <v>0.0476588036115647</v>
      </c>
    </row>
    <row r="168" customFormat="false" ht="13.8" hidden="false" customHeight="false" outlineLevel="0" collapsed="false">
      <c r="B168" s="2" t="n">
        <v>0.011174343541294</v>
      </c>
      <c r="C168" s="2" t="n">
        <v>0.00943099680350194</v>
      </c>
      <c r="I168" s="12" t="n">
        <f aca="false">X21</f>
        <v>0</v>
      </c>
      <c r="J168" s="13" t="n">
        <f aca="false">K21</f>
        <v>0.00243273331834217</v>
      </c>
      <c r="K168" s="13" t="n">
        <f aca="false">AE21</f>
        <v>0.00243273331834217</v>
      </c>
      <c r="L168" s="13" t="n">
        <f aca="false">AP21</f>
        <v>0.00909621435575782</v>
      </c>
      <c r="M168" s="13" t="n">
        <f aca="false">AJ21</f>
        <v>0.00909621435575782</v>
      </c>
    </row>
    <row r="169" customFormat="false" ht="13.8" hidden="false" customHeight="false" outlineLevel="0" collapsed="false">
      <c r="B169" s="2" t="n">
        <v>0.0464155134681876</v>
      </c>
      <c r="C169" s="2" t="n">
        <v>0.00996540733251332</v>
      </c>
      <c r="I169" s="12" t="n">
        <f aca="false">X31</f>
        <v>0</v>
      </c>
      <c r="J169" s="13" t="n">
        <f aca="false">K31</f>
        <v>0.0364464679429039</v>
      </c>
      <c r="K169" s="14" t="n">
        <f aca="false">AE31</f>
        <v>0.0725225526532963</v>
      </c>
      <c r="L169" s="13" t="n">
        <f aca="false">AP31</f>
        <v>0.0686015440225348</v>
      </c>
      <c r="M169" s="13" t="n">
        <f aca="false">AJ31</f>
        <v>0.0622925058690261</v>
      </c>
    </row>
    <row r="170" customFormat="false" ht="13.8" hidden="false" customHeight="false" outlineLevel="0" collapsed="false">
      <c r="B170" s="2" t="n">
        <v>0.0163118552107225</v>
      </c>
      <c r="C170" s="2" t="n">
        <v>0.00959803910731896</v>
      </c>
      <c r="I170" s="12" t="n">
        <f aca="false">X41</f>
        <v>0</v>
      </c>
      <c r="J170" s="13" t="n">
        <f aca="false">K41</f>
        <v>0.00671318206770058</v>
      </c>
      <c r="K170" s="14" t="n">
        <f aca="false">AE41</f>
        <v>0.00810401324829992</v>
      </c>
      <c r="L170" s="13" t="n">
        <f aca="false">AP41</f>
        <v>0.0226923359726219</v>
      </c>
      <c r="M170" s="13" t="n">
        <f aca="false">AJ41</f>
        <v>0.0226923359726219</v>
      </c>
    </row>
    <row r="171" customFormat="false" ht="13.8" hidden="false" customHeight="false" outlineLevel="0" collapsed="false">
      <c r="B171" s="2" t="n">
        <v>0.168069516758356</v>
      </c>
      <c r="C171" s="2" t="n">
        <v>0.0732046201839287</v>
      </c>
      <c r="I171" s="12" t="n">
        <f aca="false">X51</f>
        <v>0.0839901079448951</v>
      </c>
      <c r="J171" s="13" t="n">
        <f aca="false">K51</f>
        <v>0.176866722938577</v>
      </c>
      <c r="K171" s="13" t="n">
        <f aca="false">AE51</f>
        <v>0.156486025398106</v>
      </c>
      <c r="L171" s="13" t="n">
        <f aca="false">AP51</f>
        <v>0.153702072708896</v>
      </c>
      <c r="M171" s="13" t="n">
        <f aca="false">AJ51</f>
        <v>0.136884176393929</v>
      </c>
    </row>
    <row r="172" customFormat="false" ht="13.8" hidden="false" customHeight="false" outlineLevel="0" collapsed="false">
      <c r="B172" s="2" t="n">
        <v>0.0147492785752163</v>
      </c>
      <c r="C172" s="2" t="n">
        <v>0.00889369908492566</v>
      </c>
      <c r="I172" s="12" t="n">
        <f aca="false">X61</f>
        <v>0</v>
      </c>
      <c r="J172" s="13" t="n">
        <f aca="false">K61</f>
        <v>0.00585503907792348</v>
      </c>
      <c r="K172" s="13" t="n">
        <f aca="false">AE61</f>
        <v>0.00625136402331427</v>
      </c>
      <c r="L172" s="13" t="n">
        <f aca="false">AP61</f>
        <v>0.0166761400784435</v>
      </c>
      <c r="M172" s="13" t="n">
        <f aca="false">AJ61</f>
        <v>0.0127749953200918</v>
      </c>
    </row>
    <row r="173" customFormat="false" ht="13.8" hidden="false" customHeight="false" outlineLevel="0" collapsed="false">
      <c r="B173" s="2" t="n">
        <v>0.460605517123669</v>
      </c>
      <c r="C173" s="2" t="n">
        <v>0.51763275295481</v>
      </c>
      <c r="I173" s="13" t="n">
        <f aca="false">X71</f>
        <v>0.561135702430392</v>
      </c>
      <c r="J173" s="14" t="n">
        <f aca="false">K71</f>
        <v>0.492530862064985</v>
      </c>
      <c r="K173" s="12" t="n">
        <f aca="false">AE71</f>
        <v>0.477367886611716</v>
      </c>
      <c r="L173" s="13" t="n">
        <f aca="false">AP71</f>
        <v>0.515306991902932</v>
      </c>
      <c r="M173" s="13" t="n">
        <f aca="false">AJ71</f>
        <v>0.510004864337818</v>
      </c>
    </row>
    <row r="174" customFormat="false" ht="13.8" hidden="false" customHeight="false" outlineLevel="0" collapsed="false">
      <c r="B174" s="2" t="n">
        <v>0.0223896669425979</v>
      </c>
      <c r="C174" s="2" t="n">
        <v>0.0132488524098118</v>
      </c>
      <c r="I174" s="12" t="n">
        <f aca="false">X81</f>
        <v>0</v>
      </c>
      <c r="J174" s="13" t="n">
        <f aca="false">K81</f>
        <v>0.00937874922754998</v>
      </c>
      <c r="K174" s="13" t="n">
        <f aca="false">AE81</f>
        <v>0.0061770927712372</v>
      </c>
      <c r="L174" s="13" t="n">
        <f aca="false">AP81</f>
        <v>0.023768337743052</v>
      </c>
      <c r="M174" s="13" t="n">
        <f aca="false">AJ81</f>
        <v>0.0208837293245487</v>
      </c>
    </row>
    <row r="175" customFormat="false" ht="13.8" hidden="false" customHeight="false" outlineLevel="0" collapsed="false">
      <c r="B175" s="2" t="n">
        <v>0.0916923314161533</v>
      </c>
      <c r="C175" s="2" t="n">
        <v>0.022067212017371</v>
      </c>
      <c r="I175" s="12" t="n">
        <f aca="false">X91</f>
        <v>0</v>
      </c>
      <c r="J175" s="13" t="n">
        <f aca="false">K91</f>
        <v>0.0707091151273417</v>
      </c>
      <c r="K175" s="13" t="n">
        <f aca="false">AE91</f>
        <v>0.0338928866624991</v>
      </c>
      <c r="L175" s="13" t="n">
        <f aca="false">AP91</f>
        <v>0.069875680658214</v>
      </c>
      <c r="M175" s="13" t="n">
        <f aca="false">AJ91</f>
        <v>0.069875680658214</v>
      </c>
    </row>
    <row r="176" customFormat="false" ht="13.8" hidden="false" customHeight="false" outlineLevel="0" collapsed="false">
      <c r="B176" s="2" t="n">
        <v>0.0097147423909841</v>
      </c>
      <c r="C176" s="2" t="n">
        <v>0.00908092968113252</v>
      </c>
      <c r="I176" s="12" t="n">
        <f aca="false">X101</f>
        <v>0</v>
      </c>
      <c r="J176" s="13" t="n">
        <f aca="false">K101</f>
        <v>0.00185485647999287</v>
      </c>
      <c r="K176" s="13" t="n">
        <f aca="false">AE101</f>
        <v>0.000605180343742435</v>
      </c>
      <c r="L176" s="13" t="n">
        <f aca="false">AP101</f>
        <v>0.0084649686251834</v>
      </c>
      <c r="M176" s="13" t="n">
        <f aca="false">AJ101</f>
        <v>0.0084649686251834</v>
      </c>
    </row>
    <row r="177" customFormat="false" ht="13.8" hidden="false" customHeight="false" outlineLevel="0" collapsed="false">
      <c r="B177" s="2" t="n">
        <v>0.325504279022596</v>
      </c>
      <c r="C177" s="2" t="n">
        <v>0.359332481746916</v>
      </c>
      <c r="I177" s="12" t="n">
        <f aca="false">X111</f>
        <v>0.210640096730082</v>
      </c>
      <c r="J177" s="13" t="n">
        <f aca="false">K111</f>
        <v>0.24971921853253</v>
      </c>
      <c r="K177" s="13" t="n">
        <f aca="false">AE111</f>
        <v>0.232545434898602</v>
      </c>
      <c r="L177" s="13" t="n">
        <f aca="false">AP111</f>
        <v>0.309083404118031</v>
      </c>
      <c r="M177" s="13" t="n">
        <f aca="false">AJ111</f>
        <v>0.27958066744067</v>
      </c>
    </row>
    <row r="178" customFormat="false" ht="13.8" hidden="false" customHeight="false" outlineLevel="0" collapsed="false">
      <c r="B178" s="2" t="n">
        <v>0.0133676428286729</v>
      </c>
      <c r="C178" s="2" t="n">
        <v>0.0097707673052793</v>
      </c>
      <c r="I178" s="12" t="n">
        <f aca="false">X121</f>
        <v>0</v>
      </c>
      <c r="J178" s="13" t="n">
        <f aca="false">K121</f>
        <v>0.00444412846441148</v>
      </c>
      <c r="K178" s="13" t="n">
        <f aca="false">AE121</f>
        <v>0.00850229618654748</v>
      </c>
      <c r="L178" s="13" t="n">
        <f aca="false">AP121</f>
        <v>0.0145627152672189</v>
      </c>
      <c r="M178" s="13" t="n">
        <f aca="false">AJ121</f>
        <v>0.00912245250882339</v>
      </c>
    </row>
    <row r="179" customFormat="false" ht="13.8" hidden="false" customHeight="false" outlineLevel="0" collapsed="false">
      <c r="B179" s="2" t="n">
        <v>0.494541721284857</v>
      </c>
      <c r="C179" s="2" t="n">
        <v>0.590942248984249</v>
      </c>
      <c r="I179" s="13" t="n">
        <f aca="false">X131</f>
        <v>0.548866875455076</v>
      </c>
      <c r="J179" s="13" t="n">
        <f aca="false">K131</f>
        <v>0.484539954839431</v>
      </c>
      <c r="K179" s="14" t="n">
        <f aca="false">AE131</f>
        <v>0.482948334108671</v>
      </c>
      <c r="L179" s="13" t="n">
        <f aca="false">AP131</f>
        <v>0.488409205330121</v>
      </c>
      <c r="M179" s="12" t="n">
        <f aca="false">AJ131</f>
        <v>0.458488405411353</v>
      </c>
    </row>
    <row r="180" customFormat="false" ht="13.8" hidden="false" customHeight="false" outlineLevel="0" collapsed="false">
      <c r="B180" s="2" t="n">
        <v>0.0156994813529097</v>
      </c>
      <c r="C180" s="2" t="n">
        <v>0.00978604542581173</v>
      </c>
      <c r="I180" s="12" t="n">
        <f aca="false">X141</f>
        <v>0</v>
      </c>
      <c r="J180" s="13" t="n">
        <f aca="false">K141</f>
        <v>0.00712572193030098</v>
      </c>
      <c r="K180" s="13" t="n">
        <f aca="false">AE141</f>
        <v>0.00257735718531405</v>
      </c>
      <c r="L180" s="13" t="n">
        <f aca="false">AP141</f>
        <v>0.0133570585741607</v>
      </c>
      <c r="M180" s="13" t="n">
        <f aca="false">AJ141</f>
        <v>0.0107847152502245</v>
      </c>
    </row>
    <row r="181" customFormat="false" ht="13.8" hidden="false" customHeight="false" outlineLevel="0" collapsed="false">
      <c r="B181" s="2" t="n">
        <v>0.662967472830855</v>
      </c>
      <c r="C181" s="2" t="n">
        <v>1.03663770963418</v>
      </c>
      <c r="I181" s="13" t="n">
        <f aca="false">X151</f>
        <v>0.653685122208982</v>
      </c>
      <c r="J181" s="12" t="n">
        <f aca="false">K151</f>
        <v>0.522589841766816</v>
      </c>
      <c r="K181" s="14" t="n">
        <f aca="false">AE151</f>
        <v>0.548496556074765</v>
      </c>
      <c r="L181" s="13" t="n">
        <f aca="false">AP151</f>
        <v>0.645632449947398</v>
      </c>
      <c r="M181" s="13" t="n">
        <f aca="false">AJ151</f>
        <v>0.709236991300745</v>
      </c>
    </row>
    <row r="182" customFormat="false" ht="13.8" hidden="false" customHeight="false" outlineLevel="0" collapsed="false">
      <c r="B182" s="2" t="n">
        <v>0.016756093511169</v>
      </c>
      <c r="C182" s="2" t="n">
        <v>0.0135643085662929</v>
      </c>
      <c r="I182" s="12" t="n">
        <f aca="false">X161</f>
        <v>0.000114407919946677</v>
      </c>
      <c r="J182" s="13" t="n">
        <f aca="false">K161</f>
        <v>0.00428687844332779</v>
      </c>
      <c r="K182" s="13" t="n">
        <f aca="false">AE161</f>
        <v>0.00348470747133356</v>
      </c>
      <c r="L182" s="13" t="n">
        <f aca="false">AP161</f>
        <v>0.0203436992348155</v>
      </c>
      <c r="M182" s="13" t="n">
        <f aca="false">AJ161</f>
        <v>0.0199381801544447</v>
      </c>
    </row>
  </sheetData>
  <mergeCells count="6">
    <mergeCell ref="B1:C1"/>
    <mergeCell ref="E1:K1"/>
    <mergeCell ref="Y1:AC1"/>
    <mergeCell ref="AF1:AH1"/>
    <mergeCell ref="AL1:AN1"/>
    <mergeCell ref="B166:C16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2015-05-03T16:26:27Z</dcterms:created>
  <dc:creator>Luis Guimarães</dc:creator>
  <dc:description/>
  <dc:language>yi-US</dc:language>
  <cp:lastModifiedBy/>
  <dcterms:modified xsi:type="dcterms:W3CDTF">2020-03-24T23:01:15Z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